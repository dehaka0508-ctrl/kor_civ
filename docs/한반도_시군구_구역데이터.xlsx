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장현유\Downloads\"/>
    </mc:Choice>
  </mc:AlternateContent>
  <xr:revisionPtr revIDLastSave="0" documentId="13_ncr:1_{96F30756-1D06-4FE1-BA6D-B710654C4021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구역" sheetId="1" r:id="rId1"/>
    <sheet name="설정" sheetId="2" r:id="rId2"/>
    <sheet name="광역요약" sheetId="3" r:id="rId3"/>
    <sheet name="조선8도" sheetId="4" r:id="rId4"/>
    <sheet name="해역" sheetId="5" r:id="rId5"/>
    <sheet name="인접 예외" sheetId="6" r:id="rId6"/>
    <sheet name="설명" sheetId="7" r:id="rId7"/>
  </sheets>
  <definedNames>
    <definedName name="_xlnm._FilterDatabase" localSheetId="0" hidden="1">구역!$A$1:$AB$425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5" l="1"/>
  <c r="E6" i="5"/>
  <c r="E5" i="5"/>
  <c r="E4" i="5"/>
  <c r="E3" i="5"/>
  <c r="E2" i="5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B37" i="3"/>
  <c r="B36" i="3"/>
  <c r="K32" i="3"/>
  <c r="H32" i="3"/>
  <c r="G32" i="3"/>
  <c r="F32" i="3"/>
  <c r="E32" i="3"/>
  <c r="D32" i="3"/>
  <c r="C32" i="3"/>
  <c r="K31" i="3"/>
  <c r="H31" i="3"/>
  <c r="G31" i="3"/>
  <c r="F31" i="3"/>
  <c r="E31" i="3"/>
  <c r="D31" i="3"/>
  <c r="C31" i="3"/>
  <c r="K30" i="3"/>
  <c r="H30" i="3"/>
  <c r="G30" i="3"/>
  <c r="F30" i="3"/>
  <c r="E30" i="3"/>
  <c r="D30" i="3"/>
  <c r="C30" i="3"/>
  <c r="K29" i="3"/>
  <c r="H29" i="3"/>
  <c r="G29" i="3"/>
  <c r="F29" i="3"/>
  <c r="E29" i="3"/>
  <c r="D29" i="3"/>
  <c r="C29" i="3"/>
  <c r="K28" i="3"/>
  <c r="H28" i="3"/>
  <c r="G28" i="3"/>
  <c r="F28" i="3"/>
  <c r="E28" i="3"/>
  <c r="D28" i="3"/>
  <c r="C28" i="3"/>
  <c r="K27" i="3"/>
  <c r="J27" i="3"/>
  <c r="H27" i="3"/>
  <c r="G27" i="3"/>
  <c r="F27" i="3"/>
  <c r="E27" i="3"/>
  <c r="D27" i="3"/>
  <c r="C27" i="3"/>
  <c r="K26" i="3"/>
  <c r="H26" i="3"/>
  <c r="G26" i="3"/>
  <c r="F26" i="3"/>
  <c r="E26" i="3"/>
  <c r="D26" i="3"/>
  <c r="C26" i="3"/>
  <c r="K25" i="3"/>
  <c r="H25" i="3"/>
  <c r="G25" i="3"/>
  <c r="F25" i="3"/>
  <c r="E25" i="3"/>
  <c r="D25" i="3"/>
  <c r="C25" i="3"/>
  <c r="K24" i="3"/>
  <c r="H24" i="3"/>
  <c r="G24" i="3"/>
  <c r="F24" i="3"/>
  <c r="E24" i="3"/>
  <c r="D24" i="3"/>
  <c r="C24" i="3"/>
  <c r="K23" i="3"/>
  <c r="H23" i="3"/>
  <c r="G23" i="3"/>
  <c r="F23" i="3"/>
  <c r="E23" i="3"/>
  <c r="D23" i="3"/>
  <c r="C23" i="3"/>
  <c r="K22" i="3"/>
  <c r="H22" i="3"/>
  <c r="G22" i="3"/>
  <c r="F22" i="3"/>
  <c r="E22" i="3"/>
  <c r="D22" i="3"/>
  <c r="C22" i="3"/>
  <c r="K21" i="3"/>
  <c r="H21" i="3"/>
  <c r="G21" i="3"/>
  <c r="F21" i="3"/>
  <c r="E21" i="3"/>
  <c r="D21" i="3"/>
  <c r="C21" i="3"/>
  <c r="K20" i="3"/>
  <c r="H20" i="3"/>
  <c r="G20" i="3"/>
  <c r="F20" i="3"/>
  <c r="E20" i="3"/>
  <c r="D20" i="3"/>
  <c r="C20" i="3"/>
  <c r="K19" i="3"/>
  <c r="H19" i="3"/>
  <c r="G19" i="3"/>
  <c r="F19" i="3"/>
  <c r="E19" i="3"/>
  <c r="D19" i="3"/>
  <c r="C19" i="3"/>
  <c r="K18" i="3"/>
  <c r="H18" i="3"/>
  <c r="G18" i="3"/>
  <c r="F18" i="3"/>
  <c r="E18" i="3"/>
  <c r="D18" i="3"/>
  <c r="C18" i="3"/>
  <c r="K17" i="3"/>
  <c r="H17" i="3"/>
  <c r="G17" i="3"/>
  <c r="F17" i="3"/>
  <c r="E17" i="3"/>
  <c r="D17" i="3"/>
  <c r="C17" i="3"/>
  <c r="K16" i="3"/>
  <c r="H16" i="3"/>
  <c r="G16" i="3"/>
  <c r="F16" i="3"/>
  <c r="E16" i="3"/>
  <c r="D16" i="3"/>
  <c r="C16" i="3"/>
  <c r="K15" i="3"/>
  <c r="H15" i="3"/>
  <c r="G15" i="3"/>
  <c r="F15" i="3"/>
  <c r="E15" i="3"/>
  <c r="D15" i="3"/>
  <c r="C15" i="3"/>
  <c r="K14" i="3"/>
  <c r="H14" i="3"/>
  <c r="G14" i="3"/>
  <c r="F14" i="3"/>
  <c r="E14" i="3"/>
  <c r="D14" i="3"/>
  <c r="C14" i="3"/>
  <c r="K13" i="3"/>
  <c r="H13" i="3"/>
  <c r="G13" i="3"/>
  <c r="F13" i="3"/>
  <c r="E13" i="3"/>
  <c r="D13" i="3"/>
  <c r="C13" i="3"/>
  <c r="K12" i="3"/>
  <c r="H12" i="3"/>
  <c r="G12" i="3"/>
  <c r="F12" i="3"/>
  <c r="E12" i="3"/>
  <c r="D12" i="3"/>
  <c r="C12" i="3"/>
  <c r="K11" i="3"/>
  <c r="H11" i="3"/>
  <c r="G11" i="3"/>
  <c r="F11" i="3"/>
  <c r="E11" i="3"/>
  <c r="D11" i="3"/>
  <c r="C11" i="3"/>
  <c r="K10" i="3"/>
  <c r="H10" i="3"/>
  <c r="G10" i="3"/>
  <c r="F10" i="3"/>
  <c r="E10" i="3"/>
  <c r="D10" i="3"/>
  <c r="C10" i="3"/>
  <c r="K9" i="3"/>
  <c r="H9" i="3"/>
  <c r="G9" i="3"/>
  <c r="F9" i="3"/>
  <c r="E9" i="3"/>
  <c r="D9" i="3"/>
  <c r="C9" i="3"/>
  <c r="K8" i="3"/>
  <c r="H8" i="3"/>
  <c r="G8" i="3"/>
  <c r="F8" i="3"/>
  <c r="E8" i="3"/>
  <c r="D8" i="3"/>
  <c r="C8" i="3"/>
  <c r="K7" i="3"/>
  <c r="H7" i="3"/>
  <c r="G7" i="3"/>
  <c r="F7" i="3"/>
  <c r="E7" i="3"/>
  <c r="D7" i="3"/>
  <c r="C7" i="3"/>
  <c r="K6" i="3"/>
  <c r="H6" i="3"/>
  <c r="G6" i="3"/>
  <c r="F6" i="3"/>
  <c r="E6" i="3"/>
  <c r="D6" i="3"/>
  <c r="C6" i="3"/>
  <c r="K5" i="3"/>
  <c r="H5" i="3"/>
  <c r="G5" i="3"/>
  <c r="F5" i="3"/>
  <c r="E5" i="3"/>
  <c r="D5" i="3"/>
  <c r="C5" i="3"/>
  <c r="K4" i="3"/>
  <c r="H4" i="3"/>
  <c r="G4" i="3"/>
  <c r="F4" i="3"/>
  <c r="E4" i="3"/>
  <c r="D4" i="3"/>
  <c r="C4" i="3"/>
  <c r="K3" i="3"/>
  <c r="H3" i="3"/>
  <c r="G3" i="3"/>
  <c r="F3" i="3"/>
  <c r="E3" i="3"/>
  <c r="D3" i="3"/>
  <c r="C3" i="3"/>
  <c r="K2" i="3"/>
  <c r="H2" i="3"/>
  <c r="H33" i="3" s="1"/>
  <c r="G2" i="3"/>
  <c r="F2" i="3"/>
  <c r="E2" i="3"/>
  <c r="D2" i="3"/>
  <c r="C2" i="3"/>
  <c r="B18" i="2"/>
  <c r="Z425" i="1"/>
  <c r="Y425" i="1"/>
  <c r="X425" i="1"/>
  <c r="AA425" i="1" s="1"/>
  <c r="AA424" i="1"/>
  <c r="Y424" i="1"/>
  <c r="Z424" i="1" s="1"/>
  <c r="X424" i="1"/>
  <c r="Z423" i="1"/>
  <c r="Y423" i="1"/>
  <c r="X423" i="1"/>
  <c r="AA423" i="1" s="1"/>
  <c r="AA422" i="1"/>
  <c r="Y422" i="1"/>
  <c r="Z422" i="1" s="1"/>
  <c r="X422" i="1"/>
  <c r="Y421" i="1"/>
  <c r="Z421" i="1" s="1"/>
  <c r="X421" i="1"/>
  <c r="AA421" i="1" s="1"/>
  <c r="AA420" i="1"/>
  <c r="Z420" i="1"/>
  <c r="Y420" i="1"/>
  <c r="X420" i="1"/>
  <c r="AA419" i="1"/>
  <c r="Y419" i="1"/>
  <c r="Z419" i="1" s="1"/>
  <c r="X419" i="1"/>
  <c r="AA418" i="1"/>
  <c r="Y418" i="1"/>
  <c r="Z418" i="1" s="1"/>
  <c r="X418" i="1"/>
  <c r="Y417" i="1"/>
  <c r="Z417" i="1" s="1"/>
  <c r="X417" i="1"/>
  <c r="AA417" i="1" s="1"/>
  <c r="Z416" i="1"/>
  <c r="Y416" i="1"/>
  <c r="X416" i="1"/>
  <c r="AA416" i="1" s="1"/>
  <c r="AA415" i="1"/>
  <c r="Y415" i="1"/>
  <c r="Z415" i="1" s="1"/>
  <c r="X415" i="1"/>
  <c r="Y414" i="1"/>
  <c r="Z414" i="1" s="1"/>
  <c r="X414" i="1"/>
  <c r="Y413" i="1"/>
  <c r="Z413" i="1" s="1"/>
  <c r="X413" i="1"/>
  <c r="AA413" i="1" s="1"/>
  <c r="Y412" i="1"/>
  <c r="Z412" i="1" s="1"/>
  <c r="X412" i="1"/>
  <c r="AA412" i="1" s="1"/>
  <c r="AA411" i="1"/>
  <c r="Z411" i="1"/>
  <c r="Y411" i="1"/>
  <c r="X411" i="1"/>
  <c r="Y410" i="1"/>
  <c r="Z410" i="1" s="1"/>
  <c r="X410" i="1"/>
  <c r="AA410" i="1" s="1"/>
  <c r="AA409" i="1"/>
  <c r="Z409" i="1"/>
  <c r="Y409" i="1"/>
  <c r="X409" i="1"/>
  <c r="Z408" i="1"/>
  <c r="Y408" i="1"/>
  <c r="X408" i="1"/>
  <c r="AA408" i="1" s="1"/>
  <c r="AA407" i="1"/>
  <c r="Z407" i="1"/>
  <c r="Y407" i="1"/>
  <c r="X407" i="1"/>
  <c r="AA406" i="1"/>
  <c r="Y406" i="1"/>
  <c r="Z406" i="1" s="1"/>
  <c r="X406" i="1"/>
  <c r="AA405" i="1"/>
  <c r="Z405" i="1"/>
  <c r="Y405" i="1"/>
  <c r="X405" i="1"/>
  <c r="Y404" i="1"/>
  <c r="Z404" i="1" s="1"/>
  <c r="X404" i="1"/>
  <c r="AA404" i="1" s="1"/>
  <c r="AA403" i="1"/>
  <c r="Y403" i="1"/>
  <c r="Z403" i="1" s="1"/>
  <c r="X403" i="1"/>
  <c r="Y402" i="1"/>
  <c r="Z402" i="1" s="1"/>
  <c r="X402" i="1"/>
  <c r="AA402" i="1" s="1"/>
  <c r="Z401" i="1"/>
  <c r="Y401" i="1"/>
  <c r="X401" i="1"/>
  <c r="AA401" i="1" s="1"/>
  <c r="Y400" i="1"/>
  <c r="Z400" i="1" s="1"/>
  <c r="X400" i="1"/>
  <c r="AA400" i="1" s="1"/>
  <c r="Y399" i="1"/>
  <c r="Z399" i="1" s="1"/>
  <c r="X399" i="1"/>
  <c r="AA399" i="1" s="1"/>
  <c r="AA398" i="1"/>
  <c r="Y398" i="1"/>
  <c r="Z398" i="1" s="1"/>
  <c r="X398" i="1"/>
  <c r="Y397" i="1"/>
  <c r="Z397" i="1" s="1"/>
  <c r="X397" i="1"/>
  <c r="AA397" i="1" s="1"/>
  <c r="Y396" i="1"/>
  <c r="Z396" i="1" s="1"/>
  <c r="X396" i="1"/>
  <c r="AA395" i="1"/>
  <c r="Y395" i="1"/>
  <c r="Z395" i="1" s="1"/>
  <c r="X395" i="1"/>
  <c r="AA394" i="1"/>
  <c r="Y394" i="1"/>
  <c r="Z394" i="1" s="1"/>
  <c r="X394" i="1"/>
  <c r="Z393" i="1"/>
  <c r="Y393" i="1"/>
  <c r="X393" i="1"/>
  <c r="AA393" i="1" s="1"/>
  <c r="AA392" i="1"/>
  <c r="Z392" i="1"/>
  <c r="Y392" i="1"/>
  <c r="X392" i="1"/>
  <c r="Z391" i="1"/>
  <c r="Y391" i="1"/>
  <c r="X391" i="1"/>
  <c r="AA391" i="1" s="1"/>
  <c r="AA390" i="1"/>
  <c r="Y390" i="1"/>
  <c r="Z390" i="1" s="1"/>
  <c r="X390" i="1"/>
  <c r="AA389" i="1"/>
  <c r="Y389" i="1"/>
  <c r="Z389" i="1" s="1"/>
  <c r="X389" i="1"/>
  <c r="AA388" i="1"/>
  <c r="Z388" i="1"/>
  <c r="Y388" i="1"/>
  <c r="X388" i="1"/>
  <c r="Y387" i="1"/>
  <c r="Z387" i="1" s="1"/>
  <c r="X387" i="1"/>
  <c r="AA387" i="1" s="1"/>
  <c r="Y386" i="1"/>
  <c r="Z386" i="1" s="1"/>
  <c r="X386" i="1"/>
  <c r="AA386" i="1" s="1"/>
  <c r="AA385" i="1"/>
  <c r="Y385" i="1"/>
  <c r="Z385" i="1" s="1"/>
  <c r="X385" i="1"/>
  <c r="Z384" i="1"/>
  <c r="Y384" i="1"/>
  <c r="X384" i="1"/>
  <c r="AA384" i="1" s="1"/>
  <c r="Y383" i="1"/>
  <c r="Z383" i="1" s="1"/>
  <c r="X383" i="1"/>
  <c r="AA383" i="1" s="1"/>
  <c r="Y382" i="1"/>
  <c r="Z382" i="1" s="1"/>
  <c r="X382" i="1"/>
  <c r="AA382" i="1" s="1"/>
  <c r="AA381" i="1"/>
  <c r="Z381" i="1"/>
  <c r="Y381" i="1"/>
  <c r="X381" i="1"/>
  <c r="Y380" i="1"/>
  <c r="Z380" i="1" s="1"/>
  <c r="X380" i="1"/>
  <c r="AA380" i="1" s="1"/>
  <c r="Y379" i="1"/>
  <c r="Z379" i="1" s="1"/>
  <c r="X379" i="1"/>
  <c r="AA379" i="1" s="1"/>
  <c r="Y378" i="1"/>
  <c r="Z378" i="1" s="1"/>
  <c r="X378" i="1"/>
  <c r="AA378" i="1" s="1"/>
  <c r="AA377" i="1"/>
  <c r="Z377" i="1"/>
  <c r="Y377" i="1"/>
  <c r="X377" i="1"/>
  <c r="Z376" i="1"/>
  <c r="Y376" i="1"/>
  <c r="X376" i="1"/>
  <c r="AA376" i="1" s="1"/>
  <c r="AA375" i="1"/>
  <c r="Z375" i="1"/>
  <c r="Y375" i="1"/>
  <c r="X375" i="1"/>
  <c r="AA374" i="1"/>
  <c r="Y374" i="1"/>
  <c r="Z374" i="1" s="1"/>
  <c r="X374" i="1"/>
  <c r="AA373" i="1"/>
  <c r="Y373" i="1"/>
  <c r="Z373" i="1" s="1"/>
  <c r="X373" i="1"/>
  <c r="AA372" i="1"/>
  <c r="Y372" i="1"/>
  <c r="Z372" i="1" s="1"/>
  <c r="X372" i="1"/>
  <c r="AA371" i="1"/>
  <c r="Z371" i="1"/>
  <c r="Y371" i="1"/>
  <c r="X371" i="1"/>
  <c r="Y370" i="1"/>
  <c r="Z370" i="1" s="1"/>
  <c r="X370" i="1"/>
  <c r="AA370" i="1" s="1"/>
  <c r="Z369" i="1"/>
  <c r="Y369" i="1"/>
  <c r="X369" i="1"/>
  <c r="AA369" i="1" s="1"/>
  <c r="AA368" i="1"/>
  <c r="Y368" i="1"/>
  <c r="Z368" i="1" s="1"/>
  <c r="X368" i="1"/>
  <c r="Z367" i="1"/>
  <c r="Y367" i="1"/>
  <c r="X367" i="1"/>
  <c r="AA367" i="1" s="1"/>
  <c r="Y366" i="1"/>
  <c r="Z366" i="1" s="1"/>
  <c r="X366" i="1"/>
  <c r="AA366" i="1" s="1"/>
  <c r="Y365" i="1"/>
  <c r="Z365" i="1" s="1"/>
  <c r="X365" i="1"/>
  <c r="AA365" i="1" s="1"/>
  <c r="AA364" i="1"/>
  <c r="Z364" i="1"/>
  <c r="Y364" i="1"/>
  <c r="X364" i="1"/>
  <c r="Y363" i="1"/>
  <c r="Z363" i="1" s="1"/>
  <c r="X363" i="1"/>
  <c r="AA363" i="1" s="1"/>
  <c r="AA362" i="1"/>
  <c r="Y362" i="1"/>
  <c r="Z362" i="1" s="1"/>
  <c r="X362" i="1"/>
  <c r="Z361" i="1"/>
  <c r="Y361" i="1"/>
  <c r="X361" i="1"/>
  <c r="AA360" i="1"/>
  <c r="Z360" i="1"/>
  <c r="Y360" i="1"/>
  <c r="X360" i="1"/>
  <c r="Z359" i="1"/>
  <c r="Y359" i="1"/>
  <c r="X359" i="1"/>
  <c r="AA359" i="1" s="1"/>
  <c r="AA358" i="1"/>
  <c r="Y358" i="1"/>
  <c r="Z358" i="1" s="1"/>
  <c r="X358" i="1"/>
  <c r="Y357" i="1"/>
  <c r="Z357" i="1" s="1"/>
  <c r="X357" i="1"/>
  <c r="AA357" i="1" s="1"/>
  <c r="AA356" i="1"/>
  <c r="Y356" i="1"/>
  <c r="Z356" i="1" s="1"/>
  <c r="X356" i="1"/>
  <c r="AA355" i="1"/>
  <c r="Y355" i="1"/>
  <c r="Z355" i="1" s="1"/>
  <c r="X355" i="1"/>
  <c r="AA354" i="1"/>
  <c r="Y354" i="1"/>
  <c r="Z354" i="1" s="1"/>
  <c r="X354" i="1"/>
  <c r="Y353" i="1"/>
  <c r="Z353" i="1" s="1"/>
  <c r="X353" i="1"/>
  <c r="AA353" i="1" s="1"/>
  <c r="Z352" i="1"/>
  <c r="Y352" i="1"/>
  <c r="X352" i="1"/>
  <c r="AA352" i="1" s="1"/>
  <c r="AA351" i="1"/>
  <c r="Y351" i="1"/>
  <c r="Z351" i="1" s="1"/>
  <c r="X351" i="1"/>
  <c r="Y350" i="1"/>
  <c r="Z350" i="1" s="1"/>
  <c r="X350" i="1"/>
  <c r="AA350" i="1" s="1"/>
  <c r="Y349" i="1"/>
  <c r="Z349" i="1" s="1"/>
  <c r="X349" i="1"/>
  <c r="AA349" i="1" s="1"/>
  <c r="Y348" i="1"/>
  <c r="Z348" i="1" s="1"/>
  <c r="X348" i="1"/>
  <c r="AA348" i="1" s="1"/>
  <c r="AA347" i="1"/>
  <c r="Z347" i="1"/>
  <c r="Y347" i="1"/>
  <c r="X347" i="1"/>
  <c r="Y346" i="1"/>
  <c r="Z346" i="1" s="1"/>
  <c r="X346" i="1"/>
  <c r="AA346" i="1" s="1"/>
  <c r="AA345" i="1"/>
  <c r="Z345" i="1"/>
  <c r="Y345" i="1"/>
  <c r="X345" i="1"/>
  <c r="Z344" i="1"/>
  <c r="Y344" i="1"/>
  <c r="X344" i="1"/>
  <c r="AA344" i="1" s="1"/>
  <c r="AA343" i="1"/>
  <c r="Y343" i="1"/>
  <c r="Z343" i="1" s="1"/>
  <c r="X343" i="1"/>
  <c r="AA342" i="1"/>
  <c r="Y342" i="1"/>
  <c r="Z342" i="1" s="1"/>
  <c r="X342" i="1"/>
  <c r="AA341" i="1"/>
  <c r="Z341" i="1"/>
  <c r="Y341" i="1"/>
  <c r="X341" i="1"/>
  <c r="I27" i="3" s="1"/>
  <c r="Y340" i="1"/>
  <c r="Z340" i="1" s="1"/>
  <c r="X340" i="1"/>
  <c r="AA340" i="1" s="1"/>
  <c r="AA339" i="1"/>
  <c r="Z339" i="1"/>
  <c r="Y339" i="1"/>
  <c r="X339" i="1"/>
  <c r="Y338" i="1"/>
  <c r="Z338" i="1" s="1"/>
  <c r="X338" i="1"/>
  <c r="AA338" i="1" s="1"/>
  <c r="AA337" i="1"/>
  <c r="Z337" i="1"/>
  <c r="Y337" i="1"/>
  <c r="X337" i="1"/>
  <c r="Y336" i="1"/>
  <c r="Z336" i="1" s="1"/>
  <c r="X336" i="1"/>
  <c r="AA336" i="1" s="1"/>
  <c r="Y335" i="1"/>
  <c r="Z335" i="1" s="1"/>
  <c r="X335" i="1"/>
  <c r="AA335" i="1" s="1"/>
  <c r="Y334" i="1"/>
  <c r="Z334" i="1" s="1"/>
  <c r="X334" i="1"/>
  <c r="AA334" i="1" s="1"/>
  <c r="Y333" i="1"/>
  <c r="Z333" i="1" s="1"/>
  <c r="X333" i="1"/>
  <c r="AA333" i="1" s="1"/>
  <c r="Y332" i="1"/>
  <c r="Z332" i="1" s="1"/>
  <c r="X332" i="1"/>
  <c r="AA332" i="1" s="1"/>
  <c r="AA331" i="1"/>
  <c r="Y331" i="1"/>
  <c r="Z331" i="1" s="1"/>
  <c r="X331" i="1"/>
  <c r="AA330" i="1"/>
  <c r="Y330" i="1"/>
  <c r="Z330" i="1" s="1"/>
  <c r="X330" i="1"/>
  <c r="Z329" i="1"/>
  <c r="Y329" i="1"/>
  <c r="X329" i="1"/>
  <c r="AA329" i="1" s="1"/>
  <c r="AA328" i="1"/>
  <c r="Z328" i="1"/>
  <c r="Y328" i="1"/>
  <c r="X328" i="1"/>
  <c r="Z327" i="1"/>
  <c r="Y327" i="1"/>
  <c r="X327" i="1"/>
  <c r="AA327" i="1" s="1"/>
  <c r="AA326" i="1"/>
  <c r="Y326" i="1"/>
  <c r="Z326" i="1" s="1"/>
  <c r="X326" i="1"/>
  <c r="Z325" i="1"/>
  <c r="Y325" i="1"/>
  <c r="X325" i="1"/>
  <c r="AA325" i="1" s="1"/>
  <c r="AA324" i="1"/>
  <c r="Z324" i="1"/>
  <c r="Y324" i="1"/>
  <c r="X324" i="1"/>
  <c r="Y323" i="1"/>
  <c r="Z323" i="1" s="1"/>
  <c r="X323" i="1"/>
  <c r="AA323" i="1" s="1"/>
  <c r="Y322" i="1"/>
  <c r="Z322" i="1" s="1"/>
  <c r="X322" i="1"/>
  <c r="AA322" i="1" s="1"/>
  <c r="AA321" i="1"/>
  <c r="Y321" i="1"/>
  <c r="Z321" i="1" s="1"/>
  <c r="X321" i="1"/>
  <c r="AA320" i="1"/>
  <c r="Z320" i="1"/>
  <c r="Y320" i="1"/>
  <c r="X320" i="1"/>
  <c r="Y319" i="1"/>
  <c r="Z319" i="1" s="1"/>
  <c r="X319" i="1"/>
  <c r="AA319" i="1" s="1"/>
  <c r="Y318" i="1"/>
  <c r="Z318" i="1" s="1"/>
  <c r="X318" i="1"/>
  <c r="AA318" i="1" s="1"/>
  <c r="Z317" i="1"/>
  <c r="Y317" i="1"/>
  <c r="X317" i="1"/>
  <c r="AA317" i="1" s="1"/>
  <c r="AA316" i="1"/>
  <c r="Y316" i="1"/>
  <c r="Z316" i="1" s="1"/>
  <c r="X316" i="1"/>
  <c r="Y315" i="1"/>
  <c r="Z315" i="1" s="1"/>
  <c r="X315" i="1"/>
  <c r="AA315" i="1" s="1"/>
  <c r="Y314" i="1"/>
  <c r="Z314" i="1" s="1"/>
  <c r="X314" i="1"/>
  <c r="AA314" i="1" s="1"/>
  <c r="AA313" i="1"/>
  <c r="Z313" i="1"/>
  <c r="Y313" i="1"/>
  <c r="X313" i="1"/>
  <c r="Z312" i="1"/>
  <c r="Y312" i="1"/>
  <c r="X312" i="1"/>
  <c r="AA312" i="1" s="1"/>
  <c r="AA311" i="1"/>
  <c r="Z311" i="1"/>
  <c r="Y311" i="1"/>
  <c r="X311" i="1"/>
  <c r="AA310" i="1"/>
  <c r="Y310" i="1"/>
  <c r="Z310" i="1" s="1"/>
  <c r="X310" i="1"/>
  <c r="Y309" i="1"/>
  <c r="Z309" i="1" s="1"/>
  <c r="X309" i="1"/>
  <c r="AA309" i="1" s="1"/>
  <c r="Z308" i="1"/>
  <c r="Y308" i="1"/>
  <c r="X308" i="1"/>
  <c r="AA308" i="1" s="1"/>
  <c r="AA307" i="1"/>
  <c r="Z307" i="1"/>
  <c r="Y307" i="1"/>
  <c r="X307" i="1"/>
  <c r="Y306" i="1"/>
  <c r="Z306" i="1" s="1"/>
  <c r="X306" i="1"/>
  <c r="AA306" i="1" s="1"/>
  <c r="Y305" i="1"/>
  <c r="Z305" i="1" s="1"/>
  <c r="X305" i="1"/>
  <c r="AA305" i="1" s="1"/>
  <c r="Y304" i="1"/>
  <c r="Z304" i="1" s="1"/>
  <c r="X304" i="1"/>
  <c r="AA304" i="1" s="1"/>
  <c r="AA303" i="1"/>
  <c r="Z303" i="1"/>
  <c r="Y303" i="1"/>
  <c r="X303" i="1"/>
  <c r="Y302" i="1"/>
  <c r="Z302" i="1" s="1"/>
  <c r="X302" i="1"/>
  <c r="AA302" i="1" s="1"/>
  <c r="AA301" i="1"/>
  <c r="Y301" i="1"/>
  <c r="Z301" i="1" s="1"/>
  <c r="X301" i="1"/>
  <c r="AA300" i="1"/>
  <c r="Z300" i="1"/>
  <c r="Y300" i="1"/>
  <c r="X300" i="1"/>
  <c r="Y299" i="1"/>
  <c r="Z299" i="1" s="1"/>
  <c r="X299" i="1"/>
  <c r="AA298" i="1"/>
  <c r="Y298" i="1"/>
  <c r="Z298" i="1" s="1"/>
  <c r="X298" i="1"/>
  <c r="Z297" i="1"/>
  <c r="Y297" i="1"/>
  <c r="X297" i="1"/>
  <c r="AA297" i="1" s="1"/>
  <c r="AA296" i="1"/>
  <c r="Z296" i="1"/>
  <c r="Y296" i="1"/>
  <c r="X296" i="1"/>
  <c r="Z295" i="1"/>
  <c r="Y295" i="1"/>
  <c r="X295" i="1"/>
  <c r="AA295" i="1" s="1"/>
  <c r="AA294" i="1"/>
  <c r="Y294" i="1"/>
  <c r="Z294" i="1" s="1"/>
  <c r="X294" i="1"/>
  <c r="Y293" i="1"/>
  <c r="Z293" i="1" s="1"/>
  <c r="X293" i="1"/>
  <c r="AA293" i="1" s="1"/>
  <c r="Y292" i="1"/>
  <c r="Z292" i="1" s="1"/>
  <c r="X292" i="1"/>
  <c r="AA292" i="1" s="1"/>
  <c r="Z291" i="1"/>
  <c r="Y291" i="1"/>
  <c r="X291" i="1"/>
  <c r="AA291" i="1" s="1"/>
  <c r="AA290" i="1"/>
  <c r="Y290" i="1"/>
  <c r="Z290" i="1" s="1"/>
  <c r="X290" i="1"/>
  <c r="Y289" i="1"/>
  <c r="Z289" i="1" s="1"/>
  <c r="X289" i="1"/>
  <c r="AA289" i="1" s="1"/>
  <c r="Z288" i="1"/>
  <c r="Y288" i="1"/>
  <c r="X288" i="1"/>
  <c r="AA288" i="1" s="1"/>
  <c r="Y287" i="1"/>
  <c r="Z287" i="1" s="1"/>
  <c r="X287" i="1"/>
  <c r="AA287" i="1" s="1"/>
  <c r="Y286" i="1"/>
  <c r="Z286" i="1" s="1"/>
  <c r="X286" i="1"/>
  <c r="AA286" i="1" s="1"/>
  <c r="Y285" i="1"/>
  <c r="Z285" i="1" s="1"/>
  <c r="X285" i="1"/>
  <c r="AA285" i="1" s="1"/>
  <c r="Y284" i="1"/>
  <c r="Z284" i="1" s="1"/>
  <c r="X284" i="1"/>
  <c r="AA284" i="1" s="1"/>
  <c r="Z283" i="1"/>
  <c r="Y283" i="1"/>
  <c r="X283" i="1"/>
  <c r="AA283" i="1" s="1"/>
  <c r="AA282" i="1"/>
  <c r="Y282" i="1"/>
  <c r="Z282" i="1" s="1"/>
  <c r="X282" i="1"/>
  <c r="AA281" i="1"/>
  <c r="Z281" i="1"/>
  <c r="Y281" i="1"/>
  <c r="X281" i="1"/>
  <c r="Z280" i="1"/>
  <c r="Y280" i="1"/>
  <c r="X280" i="1"/>
  <c r="AA280" i="1" s="1"/>
  <c r="AA279" i="1"/>
  <c r="Z279" i="1"/>
  <c r="Y279" i="1"/>
  <c r="X279" i="1"/>
  <c r="AA278" i="1"/>
  <c r="Y278" i="1"/>
  <c r="Z278" i="1" s="1"/>
  <c r="X278" i="1"/>
  <c r="AA277" i="1"/>
  <c r="Z277" i="1"/>
  <c r="Y277" i="1"/>
  <c r="X277" i="1"/>
  <c r="Y276" i="1"/>
  <c r="Z276" i="1" s="1"/>
  <c r="X276" i="1"/>
  <c r="AA276" i="1" s="1"/>
  <c r="AA275" i="1"/>
  <c r="Z275" i="1"/>
  <c r="Y275" i="1"/>
  <c r="X275" i="1"/>
  <c r="Y274" i="1"/>
  <c r="Z274" i="1" s="1"/>
  <c r="X274" i="1"/>
  <c r="AA273" i="1"/>
  <c r="Y273" i="1"/>
  <c r="Z273" i="1" s="1"/>
  <c r="X273" i="1"/>
  <c r="Y272" i="1"/>
  <c r="Z272" i="1" s="1"/>
  <c r="X272" i="1"/>
  <c r="Z271" i="1"/>
  <c r="Y271" i="1"/>
  <c r="X271" i="1"/>
  <c r="AA271" i="1" s="1"/>
  <c r="AA270" i="1"/>
  <c r="Y270" i="1"/>
  <c r="Z270" i="1" s="1"/>
  <c r="X270" i="1"/>
  <c r="Y269" i="1"/>
  <c r="Z269" i="1" s="1"/>
  <c r="X269" i="1"/>
  <c r="AA269" i="1" s="1"/>
  <c r="AA268" i="1"/>
  <c r="Y268" i="1"/>
  <c r="Z268" i="1" s="1"/>
  <c r="X268" i="1"/>
  <c r="Y267" i="1"/>
  <c r="Z267" i="1" s="1"/>
  <c r="X267" i="1"/>
  <c r="AA267" i="1" s="1"/>
  <c r="AA266" i="1"/>
  <c r="Y266" i="1"/>
  <c r="Z266" i="1" s="1"/>
  <c r="J22" i="3" s="1"/>
  <c r="X266" i="1"/>
  <c r="AA265" i="1"/>
  <c r="Z265" i="1"/>
  <c r="Y265" i="1"/>
  <c r="X265" i="1"/>
  <c r="AA264" i="1"/>
  <c r="Z264" i="1"/>
  <c r="Y264" i="1"/>
  <c r="X264" i="1"/>
  <c r="Z263" i="1"/>
  <c r="Y263" i="1"/>
  <c r="X263" i="1"/>
  <c r="AA263" i="1" s="1"/>
  <c r="AA262" i="1"/>
  <c r="Y262" i="1"/>
  <c r="Z262" i="1" s="1"/>
  <c r="X262" i="1"/>
  <c r="Z261" i="1"/>
  <c r="Y261" i="1"/>
  <c r="X261" i="1"/>
  <c r="AA261" i="1" s="1"/>
  <c r="AA260" i="1"/>
  <c r="Z260" i="1"/>
  <c r="Y260" i="1"/>
  <c r="X260" i="1"/>
  <c r="Y259" i="1"/>
  <c r="Z259" i="1" s="1"/>
  <c r="X259" i="1"/>
  <c r="AA259" i="1" s="1"/>
  <c r="Y258" i="1"/>
  <c r="Z258" i="1" s="1"/>
  <c r="X258" i="1"/>
  <c r="AA258" i="1" s="1"/>
  <c r="Y257" i="1"/>
  <c r="Z257" i="1" s="1"/>
  <c r="X257" i="1"/>
  <c r="AA257" i="1" s="1"/>
  <c r="Y256" i="1"/>
  <c r="Z256" i="1" s="1"/>
  <c r="X256" i="1"/>
  <c r="AA256" i="1" s="1"/>
  <c r="Y255" i="1"/>
  <c r="Z255" i="1" s="1"/>
  <c r="X255" i="1"/>
  <c r="AA255" i="1" s="1"/>
  <c r="Y254" i="1"/>
  <c r="Z254" i="1" s="1"/>
  <c r="X254" i="1"/>
  <c r="AA254" i="1" s="1"/>
  <c r="AA253" i="1"/>
  <c r="Z253" i="1"/>
  <c r="Y253" i="1"/>
  <c r="X253" i="1"/>
  <c r="Y252" i="1"/>
  <c r="Z252" i="1" s="1"/>
  <c r="X252" i="1"/>
  <c r="AA252" i="1" s="1"/>
  <c r="AA251" i="1"/>
  <c r="Y251" i="1"/>
  <c r="Z251" i="1" s="1"/>
  <c r="X251" i="1"/>
  <c r="Y250" i="1"/>
  <c r="Z250" i="1" s="1"/>
  <c r="X250" i="1"/>
  <c r="AA250" i="1" s="1"/>
  <c r="AA249" i="1"/>
  <c r="Z249" i="1"/>
  <c r="Y249" i="1"/>
  <c r="X249" i="1"/>
  <c r="Z248" i="1"/>
  <c r="Y248" i="1"/>
  <c r="X248" i="1"/>
  <c r="AA248" i="1" s="1"/>
  <c r="AA247" i="1"/>
  <c r="Z247" i="1"/>
  <c r="Y247" i="1"/>
  <c r="X247" i="1"/>
  <c r="Y246" i="1"/>
  <c r="Z246" i="1" s="1"/>
  <c r="X246" i="1"/>
  <c r="Y245" i="1"/>
  <c r="Z245" i="1" s="1"/>
  <c r="X245" i="1"/>
  <c r="AA245" i="1" s="1"/>
  <c r="Z244" i="1"/>
  <c r="Y244" i="1"/>
  <c r="X244" i="1"/>
  <c r="AA244" i="1" s="1"/>
  <c r="AA243" i="1"/>
  <c r="Z243" i="1"/>
  <c r="Y243" i="1"/>
  <c r="X243" i="1"/>
  <c r="Y242" i="1"/>
  <c r="Z242" i="1" s="1"/>
  <c r="X242" i="1"/>
  <c r="AA242" i="1" s="1"/>
  <c r="Z241" i="1"/>
  <c r="Y241" i="1"/>
  <c r="X241" i="1"/>
  <c r="AA241" i="1" s="1"/>
  <c r="Y240" i="1"/>
  <c r="Z240" i="1" s="1"/>
  <c r="X240" i="1"/>
  <c r="AA240" i="1" s="1"/>
  <c r="Z239" i="1"/>
  <c r="Y239" i="1"/>
  <c r="X239" i="1"/>
  <c r="AA239" i="1" s="1"/>
  <c r="Y238" i="1"/>
  <c r="Z238" i="1" s="1"/>
  <c r="X238" i="1"/>
  <c r="AA238" i="1" s="1"/>
  <c r="Y237" i="1"/>
  <c r="Z237" i="1" s="1"/>
  <c r="X237" i="1"/>
  <c r="AA237" i="1" s="1"/>
  <c r="AA236" i="1"/>
  <c r="Z236" i="1"/>
  <c r="Y236" i="1"/>
  <c r="X236" i="1"/>
  <c r="Y235" i="1"/>
  <c r="Z235" i="1" s="1"/>
  <c r="X235" i="1"/>
  <c r="AA235" i="1" s="1"/>
  <c r="AA234" i="1"/>
  <c r="Y234" i="1"/>
  <c r="Z234" i="1" s="1"/>
  <c r="X234" i="1"/>
  <c r="Z233" i="1"/>
  <c r="Y233" i="1"/>
  <c r="X233" i="1"/>
  <c r="AA233" i="1" s="1"/>
  <c r="AA232" i="1"/>
  <c r="Z232" i="1"/>
  <c r="Y232" i="1"/>
  <c r="X232" i="1"/>
  <c r="Z231" i="1"/>
  <c r="Y231" i="1"/>
  <c r="X231" i="1"/>
  <c r="AA231" i="1" s="1"/>
  <c r="AA230" i="1"/>
  <c r="Y230" i="1"/>
  <c r="Z230" i="1" s="1"/>
  <c r="X230" i="1"/>
  <c r="Y229" i="1"/>
  <c r="Z229" i="1" s="1"/>
  <c r="X229" i="1"/>
  <c r="AA229" i="1" s="1"/>
  <c r="AA228" i="1"/>
  <c r="Y228" i="1"/>
  <c r="Z228" i="1" s="1"/>
  <c r="X228" i="1"/>
  <c r="Z227" i="1"/>
  <c r="Y227" i="1"/>
  <c r="X227" i="1"/>
  <c r="AA227" i="1" s="1"/>
  <c r="AA226" i="1"/>
  <c r="Y226" i="1"/>
  <c r="Z226" i="1" s="1"/>
  <c r="X226" i="1"/>
  <c r="Y225" i="1"/>
  <c r="Z225" i="1" s="1"/>
  <c r="X225" i="1"/>
  <c r="AA225" i="1" s="1"/>
  <c r="Y224" i="1"/>
  <c r="Z224" i="1" s="1"/>
  <c r="X224" i="1"/>
  <c r="AA224" i="1" s="1"/>
  <c r="AA223" i="1"/>
  <c r="Y223" i="1"/>
  <c r="Z223" i="1" s="1"/>
  <c r="X223" i="1"/>
  <c r="Y222" i="1"/>
  <c r="Z222" i="1" s="1"/>
  <c r="X222" i="1"/>
  <c r="AA222" i="1" s="1"/>
  <c r="AA221" i="1"/>
  <c r="Y221" i="1"/>
  <c r="Z221" i="1" s="1"/>
  <c r="X221" i="1"/>
  <c r="AA220" i="1"/>
  <c r="Y220" i="1"/>
  <c r="Z220" i="1" s="1"/>
  <c r="X220" i="1"/>
  <c r="Z219" i="1"/>
  <c r="Y219" i="1"/>
  <c r="X219" i="1"/>
  <c r="AA219" i="1" s="1"/>
  <c r="AA218" i="1"/>
  <c r="Y218" i="1"/>
  <c r="Z218" i="1" s="1"/>
  <c r="X218" i="1"/>
  <c r="AA217" i="1"/>
  <c r="Z217" i="1"/>
  <c r="Y217" i="1"/>
  <c r="X217" i="1"/>
  <c r="Z216" i="1"/>
  <c r="Y216" i="1"/>
  <c r="X216" i="1"/>
  <c r="AA216" i="1" s="1"/>
  <c r="AA215" i="1"/>
  <c r="Y215" i="1"/>
  <c r="Z215" i="1" s="1"/>
  <c r="X215" i="1"/>
  <c r="AA214" i="1"/>
  <c r="Y214" i="1"/>
  <c r="Z214" i="1" s="1"/>
  <c r="X214" i="1"/>
  <c r="AA213" i="1"/>
  <c r="Z213" i="1"/>
  <c r="Y213" i="1"/>
  <c r="X213" i="1"/>
  <c r="Y212" i="1"/>
  <c r="Z212" i="1" s="1"/>
  <c r="X212" i="1"/>
  <c r="AA212" i="1" s="1"/>
  <c r="Z211" i="1"/>
  <c r="Y211" i="1"/>
  <c r="X211" i="1"/>
  <c r="AA211" i="1" s="1"/>
  <c r="Y210" i="1"/>
  <c r="Z210" i="1" s="1"/>
  <c r="X210" i="1"/>
  <c r="AA210" i="1" s="1"/>
  <c r="Y209" i="1"/>
  <c r="Z209" i="1" s="1"/>
  <c r="X209" i="1"/>
  <c r="AA209" i="1" s="1"/>
  <c r="Y208" i="1"/>
  <c r="Z208" i="1" s="1"/>
  <c r="X208" i="1"/>
  <c r="AA208" i="1" s="1"/>
  <c r="Z207" i="1"/>
  <c r="Y207" i="1"/>
  <c r="X207" i="1"/>
  <c r="AA207" i="1" s="1"/>
  <c r="Y206" i="1"/>
  <c r="Z206" i="1" s="1"/>
  <c r="X206" i="1"/>
  <c r="AA206" i="1" s="1"/>
  <c r="Y205" i="1"/>
  <c r="Z205" i="1" s="1"/>
  <c r="X205" i="1"/>
  <c r="AA205" i="1" s="1"/>
  <c r="AA204" i="1"/>
  <c r="Y204" i="1"/>
  <c r="Z204" i="1" s="1"/>
  <c r="X204" i="1"/>
  <c r="Y203" i="1"/>
  <c r="Z203" i="1" s="1"/>
  <c r="X203" i="1"/>
  <c r="AA203" i="1" s="1"/>
  <c r="AA202" i="1"/>
  <c r="Y202" i="1"/>
  <c r="Z202" i="1" s="1"/>
  <c r="X202" i="1"/>
  <c r="AA201" i="1"/>
  <c r="Z201" i="1"/>
  <c r="Y201" i="1"/>
  <c r="X201" i="1"/>
  <c r="AA200" i="1"/>
  <c r="Z200" i="1"/>
  <c r="Y200" i="1"/>
  <c r="X200" i="1"/>
  <c r="Z199" i="1"/>
  <c r="Y199" i="1"/>
  <c r="X199" i="1"/>
  <c r="AA199" i="1" s="1"/>
  <c r="AA198" i="1"/>
  <c r="Y198" i="1"/>
  <c r="Z198" i="1" s="1"/>
  <c r="X198" i="1"/>
  <c r="Z197" i="1"/>
  <c r="Y197" i="1"/>
  <c r="X197" i="1"/>
  <c r="AA197" i="1" s="1"/>
  <c r="AA196" i="1"/>
  <c r="Z196" i="1"/>
  <c r="Y196" i="1"/>
  <c r="X196" i="1"/>
  <c r="Y195" i="1"/>
  <c r="Z195" i="1" s="1"/>
  <c r="X195" i="1"/>
  <c r="AA195" i="1" s="1"/>
  <c r="Y194" i="1"/>
  <c r="Z194" i="1" s="1"/>
  <c r="X194" i="1"/>
  <c r="AA194" i="1" s="1"/>
  <c r="Y193" i="1"/>
  <c r="Z193" i="1" s="1"/>
  <c r="X193" i="1"/>
  <c r="AA193" i="1" s="1"/>
  <c r="AA192" i="1"/>
  <c r="Z192" i="1"/>
  <c r="Y192" i="1"/>
  <c r="X192" i="1"/>
  <c r="Y191" i="1"/>
  <c r="Z191" i="1" s="1"/>
  <c r="X191" i="1"/>
  <c r="AA191" i="1" s="1"/>
  <c r="Y190" i="1"/>
  <c r="Z190" i="1" s="1"/>
  <c r="X190" i="1"/>
  <c r="AA190" i="1" s="1"/>
  <c r="AA189" i="1"/>
  <c r="Z189" i="1"/>
  <c r="Y189" i="1"/>
  <c r="X189" i="1"/>
  <c r="AA188" i="1"/>
  <c r="Y188" i="1"/>
  <c r="Z188" i="1" s="1"/>
  <c r="X188" i="1"/>
  <c r="AA187" i="1"/>
  <c r="Y187" i="1"/>
  <c r="Z187" i="1" s="1"/>
  <c r="X187" i="1"/>
  <c r="Y186" i="1"/>
  <c r="Z186" i="1" s="1"/>
  <c r="X186" i="1"/>
  <c r="AA186" i="1" s="1"/>
  <c r="AA185" i="1"/>
  <c r="Y185" i="1"/>
  <c r="Z185" i="1" s="1"/>
  <c r="X185" i="1"/>
  <c r="Y184" i="1"/>
  <c r="Z184" i="1" s="1"/>
  <c r="X184" i="1"/>
  <c r="AA184" i="1" s="1"/>
  <c r="AA183" i="1"/>
  <c r="Z183" i="1"/>
  <c r="Y183" i="1"/>
  <c r="X183" i="1"/>
  <c r="Y182" i="1"/>
  <c r="Z182" i="1" s="1"/>
  <c r="J17" i="3" s="1"/>
  <c r="X182" i="1"/>
  <c r="AA182" i="1" s="1"/>
  <c r="Y181" i="1"/>
  <c r="Z181" i="1" s="1"/>
  <c r="X181" i="1"/>
  <c r="AA181" i="1" s="1"/>
  <c r="Z180" i="1"/>
  <c r="Y180" i="1"/>
  <c r="X180" i="1"/>
  <c r="AA180" i="1" s="1"/>
  <c r="AA179" i="1"/>
  <c r="Y179" i="1"/>
  <c r="Z179" i="1" s="1"/>
  <c r="X179" i="1"/>
  <c r="Y178" i="1"/>
  <c r="Z178" i="1" s="1"/>
  <c r="X178" i="1"/>
  <c r="AA178" i="1" s="1"/>
  <c r="Z177" i="1"/>
  <c r="Y177" i="1"/>
  <c r="X177" i="1"/>
  <c r="AA177" i="1" s="1"/>
  <c r="Y176" i="1"/>
  <c r="Z176" i="1" s="1"/>
  <c r="X176" i="1"/>
  <c r="AA176" i="1" s="1"/>
  <c r="AA175" i="1"/>
  <c r="Y175" i="1"/>
  <c r="Z175" i="1" s="1"/>
  <c r="X175" i="1"/>
  <c r="Y174" i="1"/>
  <c r="Z174" i="1" s="1"/>
  <c r="X174" i="1"/>
  <c r="AA174" i="1" s="1"/>
  <c r="AA173" i="1"/>
  <c r="Z173" i="1"/>
  <c r="Y173" i="1"/>
  <c r="X173" i="1"/>
  <c r="AA172" i="1"/>
  <c r="Z172" i="1"/>
  <c r="Y172" i="1"/>
  <c r="X172" i="1"/>
  <c r="AA171" i="1"/>
  <c r="Y171" i="1"/>
  <c r="Z171" i="1" s="1"/>
  <c r="X171" i="1"/>
  <c r="AA170" i="1"/>
  <c r="Y170" i="1"/>
  <c r="Z170" i="1" s="1"/>
  <c r="X170" i="1"/>
  <c r="Y169" i="1"/>
  <c r="Z169" i="1" s="1"/>
  <c r="X169" i="1"/>
  <c r="AA169" i="1" s="1"/>
  <c r="AA168" i="1"/>
  <c r="Y168" i="1"/>
  <c r="Z168" i="1" s="1"/>
  <c r="J16" i="3" s="1"/>
  <c r="X168" i="1"/>
  <c r="Y167" i="1"/>
  <c r="Z167" i="1" s="1"/>
  <c r="X167" i="1"/>
  <c r="AA167" i="1" s="1"/>
  <c r="AA166" i="1"/>
  <c r="Y166" i="1"/>
  <c r="Z166" i="1" s="1"/>
  <c r="X166" i="1"/>
  <c r="Y165" i="1"/>
  <c r="Z165" i="1" s="1"/>
  <c r="X165" i="1"/>
  <c r="AA165" i="1" s="1"/>
  <c r="AA164" i="1"/>
  <c r="Z164" i="1"/>
  <c r="Y164" i="1"/>
  <c r="X164" i="1"/>
  <c r="Z163" i="1"/>
  <c r="Y163" i="1"/>
  <c r="X163" i="1"/>
  <c r="AA163" i="1" s="1"/>
  <c r="Y162" i="1"/>
  <c r="Z162" i="1" s="1"/>
  <c r="X162" i="1"/>
  <c r="AA162" i="1" s="1"/>
  <c r="Y161" i="1"/>
  <c r="Z161" i="1" s="1"/>
  <c r="X161" i="1"/>
  <c r="AA161" i="1" s="1"/>
  <c r="Y160" i="1"/>
  <c r="Z160" i="1" s="1"/>
  <c r="X160" i="1"/>
  <c r="AA160" i="1" s="1"/>
  <c r="AA159" i="1"/>
  <c r="Z159" i="1"/>
  <c r="Y159" i="1"/>
  <c r="X159" i="1"/>
  <c r="Y158" i="1"/>
  <c r="Z158" i="1" s="1"/>
  <c r="X158" i="1"/>
  <c r="AA158" i="1" s="1"/>
  <c r="AA157" i="1"/>
  <c r="Y157" i="1"/>
  <c r="Z157" i="1" s="1"/>
  <c r="X157" i="1"/>
  <c r="AA156" i="1"/>
  <c r="Y156" i="1"/>
  <c r="Z156" i="1" s="1"/>
  <c r="X156" i="1"/>
  <c r="AA155" i="1"/>
  <c r="Y155" i="1"/>
  <c r="Z155" i="1" s="1"/>
  <c r="X155" i="1"/>
  <c r="Y154" i="1"/>
  <c r="Z154" i="1" s="1"/>
  <c r="X154" i="1"/>
  <c r="I15" i="3" s="1"/>
  <c r="AA153" i="1"/>
  <c r="Z153" i="1"/>
  <c r="J15" i="3" s="1"/>
  <c r="Y153" i="1"/>
  <c r="X153" i="1"/>
  <c r="Y152" i="1"/>
  <c r="Z152" i="1" s="1"/>
  <c r="X152" i="1"/>
  <c r="AA152" i="1" s="1"/>
  <c r="Y151" i="1"/>
  <c r="Z151" i="1" s="1"/>
  <c r="X151" i="1"/>
  <c r="AA151" i="1" s="1"/>
  <c r="AA150" i="1"/>
  <c r="Y150" i="1"/>
  <c r="Z150" i="1" s="1"/>
  <c r="X150" i="1"/>
  <c r="AA149" i="1"/>
  <c r="Z149" i="1"/>
  <c r="Y149" i="1"/>
  <c r="X149" i="1"/>
  <c r="Y148" i="1"/>
  <c r="Z148" i="1" s="1"/>
  <c r="X148" i="1"/>
  <c r="AA148" i="1" s="1"/>
  <c r="Z147" i="1"/>
  <c r="Y147" i="1"/>
  <c r="X147" i="1"/>
  <c r="AA147" i="1" s="1"/>
  <c r="Y146" i="1"/>
  <c r="Z146" i="1" s="1"/>
  <c r="X146" i="1"/>
  <c r="AA146" i="1" s="1"/>
  <c r="AA145" i="1"/>
  <c r="Z145" i="1"/>
  <c r="Y145" i="1"/>
  <c r="X145" i="1"/>
  <c r="Y144" i="1"/>
  <c r="Z144" i="1" s="1"/>
  <c r="X144" i="1"/>
  <c r="AA144" i="1" s="1"/>
  <c r="Y143" i="1"/>
  <c r="Z143" i="1" s="1"/>
  <c r="X143" i="1"/>
  <c r="AA143" i="1" s="1"/>
  <c r="Y142" i="1"/>
  <c r="Z142" i="1" s="1"/>
  <c r="X142" i="1"/>
  <c r="AA142" i="1" s="1"/>
  <c r="Y141" i="1"/>
  <c r="Z141" i="1" s="1"/>
  <c r="X141" i="1"/>
  <c r="AA141" i="1" s="1"/>
  <c r="AA140" i="1"/>
  <c r="Y140" i="1"/>
  <c r="Z140" i="1" s="1"/>
  <c r="X140" i="1"/>
  <c r="AA139" i="1"/>
  <c r="Y139" i="1"/>
  <c r="Z139" i="1" s="1"/>
  <c r="X139" i="1"/>
  <c r="Y138" i="1"/>
  <c r="Z138" i="1" s="1"/>
  <c r="X138" i="1"/>
  <c r="AA138" i="1" s="1"/>
  <c r="Z137" i="1"/>
  <c r="Y137" i="1"/>
  <c r="X137" i="1"/>
  <c r="AA137" i="1" s="1"/>
  <c r="AA136" i="1"/>
  <c r="Z136" i="1"/>
  <c r="Y136" i="1"/>
  <c r="X136" i="1"/>
  <c r="Y135" i="1"/>
  <c r="Z135" i="1" s="1"/>
  <c r="X135" i="1"/>
  <c r="AA135" i="1" s="1"/>
  <c r="Y134" i="1"/>
  <c r="Z134" i="1" s="1"/>
  <c r="X134" i="1"/>
  <c r="AA134" i="1" s="1"/>
  <c r="Z133" i="1"/>
  <c r="Y133" i="1"/>
  <c r="X133" i="1"/>
  <c r="AA133" i="1" s="1"/>
  <c r="AA132" i="1"/>
  <c r="Y132" i="1"/>
  <c r="Z132" i="1" s="1"/>
  <c r="X132" i="1"/>
  <c r="Y131" i="1"/>
  <c r="Z131" i="1" s="1"/>
  <c r="X131" i="1"/>
  <c r="AA131" i="1" s="1"/>
  <c r="Y130" i="1"/>
  <c r="Z130" i="1" s="1"/>
  <c r="X130" i="1"/>
  <c r="AA130" i="1" s="1"/>
  <c r="Y129" i="1"/>
  <c r="Z129" i="1" s="1"/>
  <c r="X129" i="1"/>
  <c r="AA129" i="1" s="1"/>
  <c r="AA128" i="1"/>
  <c r="Y128" i="1"/>
  <c r="Z128" i="1" s="1"/>
  <c r="X128" i="1"/>
  <c r="Y127" i="1"/>
  <c r="Z127" i="1" s="1"/>
  <c r="X127" i="1"/>
  <c r="AA126" i="1"/>
  <c r="Y126" i="1"/>
  <c r="Z126" i="1" s="1"/>
  <c r="X126" i="1"/>
  <c r="Z125" i="1"/>
  <c r="Y125" i="1"/>
  <c r="X125" i="1"/>
  <c r="AA125" i="1" s="1"/>
  <c r="Y124" i="1"/>
  <c r="Z124" i="1" s="1"/>
  <c r="X124" i="1"/>
  <c r="AA124" i="1" s="1"/>
  <c r="AA123" i="1"/>
  <c r="Y123" i="1"/>
  <c r="Z123" i="1" s="1"/>
  <c r="X123" i="1"/>
  <c r="Y122" i="1"/>
  <c r="Z122" i="1" s="1"/>
  <c r="X122" i="1"/>
  <c r="AA122" i="1" s="1"/>
  <c r="AA121" i="1"/>
  <c r="Z121" i="1"/>
  <c r="Y121" i="1"/>
  <c r="X121" i="1"/>
  <c r="Z120" i="1"/>
  <c r="Y120" i="1"/>
  <c r="X120" i="1"/>
  <c r="AA120" i="1" s="1"/>
  <c r="AA119" i="1"/>
  <c r="Z119" i="1"/>
  <c r="Y119" i="1"/>
  <c r="X119" i="1"/>
  <c r="Y118" i="1"/>
  <c r="Z118" i="1" s="1"/>
  <c r="X118" i="1"/>
  <c r="AA118" i="1" s="1"/>
  <c r="AA117" i="1"/>
  <c r="Z117" i="1"/>
  <c r="Y117" i="1"/>
  <c r="X117" i="1"/>
  <c r="Z116" i="1"/>
  <c r="Y116" i="1"/>
  <c r="X116" i="1"/>
  <c r="AA116" i="1" s="1"/>
  <c r="AA115" i="1"/>
  <c r="Y115" i="1"/>
  <c r="Z115" i="1" s="1"/>
  <c r="X115" i="1"/>
  <c r="Y114" i="1"/>
  <c r="Z114" i="1" s="1"/>
  <c r="X114" i="1"/>
  <c r="AA114" i="1" s="1"/>
  <c r="Y113" i="1"/>
  <c r="Z113" i="1" s="1"/>
  <c r="X113" i="1"/>
  <c r="AA113" i="1" s="1"/>
  <c r="AA112" i="1"/>
  <c r="Z112" i="1"/>
  <c r="Y112" i="1"/>
  <c r="X112" i="1"/>
  <c r="Z111" i="1"/>
  <c r="Y111" i="1"/>
  <c r="X111" i="1"/>
  <c r="AA111" i="1" s="1"/>
  <c r="Y110" i="1"/>
  <c r="Z110" i="1" s="1"/>
  <c r="X110" i="1"/>
  <c r="AA110" i="1" s="1"/>
  <c r="Z109" i="1"/>
  <c r="Y109" i="1"/>
  <c r="X109" i="1"/>
  <c r="AA108" i="1"/>
  <c r="Z108" i="1"/>
  <c r="Y108" i="1"/>
  <c r="X108" i="1"/>
  <c r="Z107" i="1"/>
  <c r="Y107" i="1"/>
  <c r="X107" i="1"/>
  <c r="AA107" i="1" s="1"/>
  <c r="AA106" i="1"/>
  <c r="Y106" i="1"/>
  <c r="Z106" i="1" s="1"/>
  <c r="X106" i="1"/>
  <c r="Z105" i="1"/>
  <c r="Y105" i="1"/>
  <c r="X105" i="1"/>
  <c r="AA105" i="1" s="1"/>
  <c r="Y104" i="1"/>
  <c r="Z104" i="1" s="1"/>
  <c r="X104" i="1"/>
  <c r="AA104" i="1" s="1"/>
  <c r="AA103" i="1"/>
  <c r="Z103" i="1"/>
  <c r="Y103" i="1"/>
  <c r="X103" i="1"/>
  <c r="AA102" i="1"/>
  <c r="Z102" i="1"/>
  <c r="Y102" i="1"/>
  <c r="X102" i="1"/>
  <c r="Y101" i="1"/>
  <c r="Z101" i="1" s="1"/>
  <c r="X101" i="1"/>
  <c r="AA101" i="1" s="1"/>
  <c r="Y100" i="1"/>
  <c r="Z100" i="1" s="1"/>
  <c r="X100" i="1"/>
  <c r="AA100" i="1" s="1"/>
  <c r="AA99" i="1"/>
  <c r="Z99" i="1"/>
  <c r="Y99" i="1"/>
  <c r="X99" i="1"/>
  <c r="AA98" i="1"/>
  <c r="Z98" i="1"/>
  <c r="Y98" i="1"/>
  <c r="X98" i="1"/>
  <c r="Y97" i="1"/>
  <c r="Z97" i="1" s="1"/>
  <c r="X97" i="1"/>
  <c r="AA97" i="1" s="1"/>
  <c r="Z96" i="1"/>
  <c r="Y96" i="1"/>
  <c r="X96" i="1"/>
  <c r="AA96" i="1" s="1"/>
  <c r="AA95" i="1"/>
  <c r="Z95" i="1"/>
  <c r="Y95" i="1"/>
  <c r="X95" i="1"/>
  <c r="AA94" i="1"/>
  <c r="Z94" i="1"/>
  <c r="Y94" i="1"/>
  <c r="X94" i="1"/>
  <c r="Y93" i="1"/>
  <c r="Z93" i="1" s="1"/>
  <c r="X93" i="1"/>
  <c r="AA93" i="1" s="1"/>
  <c r="AA92" i="1"/>
  <c r="Y92" i="1"/>
  <c r="Z92" i="1" s="1"/>
  <c r="X92" i="1"/>
  <c r="AA91" i="1"/>
  <c r="Y91" i="1"/>
  <c r="Z91" i="1" s="1"/>
  <c r="X91" i="1"/>
  <c r="AA90" i="1"/>
  <c r="Z90" i="1"/>
  <c r="Y90" i="1"/>
  <c r="X90" i="1"/>
  <c r="Z89" i="1"/>
  <c r="Y89" i="1"/>
  <c r="X89" i="1"/>
  <c r="AA89" i="1" s="1"/>
  <c r="Z88" i="1"/>
  <c r="Y88" i="1"/>
  <c r="X88" i="1"/>
  <c r="AA88" i="1" s="1"/>
  <c r="Y87" i="1"/>
  <c r="Z87" i="1" s="1"/>
  <c r="X87" i="1"/>
  <c r="AA87" i="1" s="1"/>
  <c r="AA86" i="1"/>
  <c r="Z86" i="1"/>
  <c r="Y86" i="1"/>
  <c r="X86" i="1"/>
  <c r="Y85" i="1"/>
  <c r="Z85" i="1" s="1"/>
  <c r="X85" i="1"/>
  <c r="AA85" i="1" s="1"/>
  <c r="AA84" i="1"/>
  <c r="Y84" i="1"/>
  <c r="Z84" i="1" s="1"/>
  <c r="X84" i="1"/>
  <c r="Y83" i="1"/>
  <c r="Z83" i="1" s="1"/>
  <c r="X83" i="1"/>
  <c r="AA83" i="1" s="1"/>
  <c r="AA82" i="1"/>
  <c r="Z82" i="1"/>
  <c r="Y82" i="1"/>
  <c r="X82" i="1"/>
  <c r="Z81" i="1"/>
  <c r="Y81" i="1"/>
  <c r="X81" i="1"/>
  <c r="AA81" i="1" s="1"/>
  <c r="Y80" i="1"/>
  <c r="Z80" i="1" s="1"/>
  <c r="X80" i="1"/>
  <c r="AA80" i="1" s="1"/>
  <c r="Z79" i="1"/>
  <c r="Y79" i="1"/>
  <c r="X79" i="1"/>
  <c r="AA79" i="1" s="1"/>
  <c r="AA78" i="1"/>
  <c r="Z78" i="1"/>
  <c r="Y78" i="1"/>
  <c r="X78" i="1"/>
  <c r="Y77" i="1"/>
  <c r="Z77" i="1" s="1"/>
  <c r="J9" i="3" s="1"/>
  <c r="X77" i="1"/>
  <c r="Y76" i="1"/>
  <c r="Z76" i="1" s="1"/>
  <c r="X76" i="1"/>
  <c r="AA76" i="1" s="1"/>
  <c r="AA75" i="1"/>
  <c r="Y75" i="1"/>
  <c r="Z75" i="1" s="1"/>
  <c r="X75" i="1"/>
  <c r="AA74" i="1"/>
  <c r="Z74" i="1"/>
  <c r="Y74" i="1"/>
  <c r="X74" i="1"/>
  <c r="Z73" i="1"/>
  <c r="Y73" i="1"/>
  <c r="X73" i="1"/>
  <c r="AA73" i="1" s="1"/>
  <c r="Z72" i="1"/>
  <c r="Y72" i="1"/>
  <c r="X72" i="1"/>
  <c r="AA72" i="1" s="1"/>
  <c r="Z71" i="1"/>
  <c r="Y71" i="1"/>
  <c r="X71" i="1"/>
  <c r="AA71" i="1" s="1"/>
  <c r="AA70" i="1"/>
  <c r="Z70" i="1"/>
  <c r="Y70" i="1"/>
  <c r="X70" i="1"/>
  <c r="Z69" i="1"/>
  <c r="Y69" i="1"/>
  <c r="X69" i="1"/>
  <c r="AA69" i="1" s="1"/>
  <c r="AA68" i="1"/>
  <c r="Y68" i="1"/>
  <c r="Z68" i="1" s="1"/>
  <c r="X68" i="1"/>
  <c r="AA67" i="1"/>
  <c r="Y67" i="1"/>
  <c r="Z67" i="1" s="1"/>
  <c r="J7" i="3" s="1"/>
  <c r="X67" i="1"/>
  <c r="AA66" i="1"/>
  <c r="Z66" i="1"/>
  <c r="Y66" i="1"/>
  <c r="X66" i="1"/>
  <c r="Z65" i="1"/>
  <c r="Y65" i="1"/>
  <c r="X65" i="1"/>
  <c r="AA65" i="1" s="1"/>
  <c r="Z64" i="1"/>
  <c r="Y64" i="1"/>
  <c r="X64" i="1"/>
  <c r="AA64" i="1" s="1"/>
  <c r="Y63" i="1"/>
  <c r="Z63" i="1" s="1"/>
  <c r="X63" i="1"/>
  <c r="AA63" i="1" s="1"/>
  <c r="AA62" i="1"/>
  <c r="Z62" i="1"/>
  <c r="Y62" i="1"/>
  <c r="X62" i="1"/>
  <c r="Y61" i="1"/>
  <c r="Z61" i="1" s="1"/>
  <c r="X61" i="1"/>
  <c r="AA61" i="1" s="1"/>
  <c r="AA60" i="1"/>
  <c r="Y60" i="1"/>
  <c r="Z60" i="1" s="1"/>
  <c r="X60" i="1"/>
  <c r="Y59" i="1"/>
  <c r="Z59" i="1" s="1"/>
  <c r="X59" i="1"/>
  <c r="AA59" i="1" s="1"/>
  <c r="AA58" i="1"/>
  <c r="Z58" i="1"/>
  <c r="Y58" i="1"/>
  <c r="X58" i="1"/>
  <c r="Y57" i="1"/>
  <c r="Z57" i="1" s="1"/>
  <c r="X57" i="1"/>
  <c r="AA57" i="1" s="1"/>
  <c r="AA56" i="1"/>
  <c r="Z56" i="1"/>
  <c r="Y56" i="1"/>
  <c r="X56" i="1"/>
  <c r="Z55" i="1"/>
  <c r="Y55" i="1"/>
  <c r="X55" i="1"/>
  <c r="AA55" i="1" s="1"/>
  <c r="AA54" i="1"/>
  <c r="Z54" i="1"/>
  <c r="Y54" i="1"/>
  <c r="X54" i="1"/>
  <c r="Y53" i="1"/>
  <c r="Z53" i="1" s="1"/>
  <c r="X53" i="1"/>
  <c r="AA53" i="1" s="1"/>
  <c r="AA52" i="1"/>
  <c r="Z52" i="1"/>
  <c r="Y52" i="1"/>
  <c r="X52" i="1"/>
  <c r="AA51" i="1"/>
  <c r="Y51" i="1"/>
  <c r="Z51" i="1" s="1"/>
  <c r="X51" i="1"/>
  <c r="AA50" i="1"/>
  <c r="Z50" i="1"/>
  <c r="Y50" i="1"/>
  <c r="X50" i="1"/>
  <c r="Z49" i="1"/>
  <c r="Y49" i="1"/>
  <c r="X49" i="1"/>
  <c r="AA49" i="1" s="1"/>
  <c r="AA48" i="1"/>
  <c r="Z48" i="1"/>
  <c r="Y48" i="1"/>
  <c r="X48" i="1"/>
  <c r="Z47" i="1"/>
  <c r="Y47" i="1"/>
  <c r="X47" i="1"/>
  <c r="AA47" i="1" s="1"/>
  <c r="AA46" i="1"/>
  <c r="Z46" i="1"/>
  <c r="Y46" i="1"/>
  <c r="X46" i="1"/>
  <c r="Z45" i="1"/>
  <c r="Y45" i="1"/>
  <c r="X45" i="1"/>
  <c r="AA45" i="1" s="1"/>
  <c r="AA44" i="1"/>
  <c r="Z44" i="1"/>
  <c r="Y44" i="1"/>
  <c r="X44" i="1"/>
  <c r="Z43" i="1"/>
  <c r="J4" i="3" s="1"/>
  <c r="Y43" i="1"/>
  <c r="X43" i="1"/>
  <c r="AA43" i="1" s="1"/>
  <c r="AA42" i="1"/>
  <c r="Z42" i="1"/>
  <c r="Y42" i="1"/>
  <c r="X42" i="1"/>
  <c r="Y41" i="1"/>
  <c r="Z41" i="1" s="1"/>
  <c r="X41" i="1"/>
  <c r="AA41" i="1" s="1"/>
  <c r="Y40" i="1"/>
  <c r="Z40" i="1" s="1"/>
  <c r="X40" i="1"/>
  <c r="AA40" i="1" s="1"/>
  <c r="AA39" i="1"/>
  <c r="Y39" i="1"/>
  <c r="Z39" i="1" s="1"/>
  <c r="X39" i="1"/>
  <c r="AA38" i="1"/>
  <c r="Z38" i="1"/>
  <c r="Y38" i="1"/>
  <c r="X38" i="1"/>
  <c r="AA37" i="1"/>
  <c r="Y37" i="1"/>
  <c r="Z37" i="1" s="1"/>
  <c r="X37" i="1"/>
  <c r="Y36" i="1"/>
  <c r="Z36" i="1" s="1"/>
  <c r="X36" i="1"/>
  <c r="AA36" i="1" s="1"/>
  <c r="AA35" i="1"/>
  <c r="Y35" i="1"/>
  <c r="Z35" i="1" s="1"/>
  <c r="X35" i="1"/>
  <c r="AA34" i="1"/>
  <c r="Z34" i="1"/>
  <c r="Y34" i="1"/>
  <c r="X34" i="1"/>
  <c r="AA33" i="1"/>
  <c r="Y33" i="1"/>
  <c r="Z33" i="1" s="1"/>
  <c r="X33" i="1"/>
  <c r="Y32" i="1"/>
  <c r="Z32" i="1" s="1"/>
  <c r="X32" i="1"/>
  <c r="AA32" i="1" s="1"/>
  <c r="AA31" i="1"/>
  <c r="Y31" i="1"/>
  <c r="Z31" i="1" s="1"/>
  <c r="X31" i="1"/>
  <c r="AA30" i="1"/>
  <c r="Z30" i="1"/>
  <c r="Y30" i="1"/>
  <c r="X30" i="1"/>
  <c r="AA29" i="1"/>
  <c r="Y29" i="1"/>
  <c r="Z29" i="1" s="1"/>
  <c r="X29" i="1"/>
  <c r="Y28" i="1"/>
  <c r="Z28" i="1" s="1"/>
  <c r="X28" i="1"/>
  <c r="AA28" i="1" s="1"/>
  <c r="AA27" i="1"/>
  <c r="Y27" i="1"/>
  <c r="Z27" i="1" s="1"/>
  <c r="J3" i="3" s="1"/>
  <c r="X27" i="1"/>
  <c r="AA26" i="1"/>
  <c r="Z26" i="1"/>
  <c r="Y26" i="1"/>
  <c r="X26" i="1"/>
  <c r="AA25" i="1"/>
  <c r="Y25" i="1"/>
  <c r="Z25" i="1" s="1"/>
  <c r="X25" i="1"/>
  <c r="Y24" i="1"/>
  <c r="Z24" i="1" s="1"/>
  <c r="X24" i="1"/>
  <c r="AA24" i="1" s="1"/>
  <c r="AA23" i="1"/>
  <c r="Y23" i="1"/>
  <c r="Z23" i="1" s="1"/>
  <c r="X23" i="1"/>
  <c r="AA22" i="1"/>
  <c r="Z22" i="1"/>
  <c r="Y22" i="1"/>
  <c r="X22" i="1"/>
  <c r="AA21" i="1"/>
  <c r="Y21" i="1"/>
  <c r="Z21" i="1" s="1"/>
  <c r="X21" i="1"/>
  <c r="Y20" i="1"/>
  <c r="Z20" i="1" s="1"/>
  <c r="X20" i="1"/>
  <c r="AA20" i="1" s="1"/>
  <c r="AA19" i="1"/>
  <c r="Y19" i="1"/>
  <c r="Z19" i="1" s="1"/>
  <c r="X19" i="1"/>
  <c r="AA18" i="1"/>
  <c r="Z18" i="1"/>
  <c r="Y18" i="1"/>
  <c r="X18" i="1"/>
  <c r="AA17" i="1"/>
  <c r="Y17" i="1"/>
  <c r="Z17" i="1" s="1"/>
  <c r="X17" i="1"/>
  <c r="Y16" i="1"/>
  <c r="Z16" i="1" s="1"/>
  <c r="X16" i="1"/>
  <c r="AA16" i="1" s="1"/>
  <c r="AA15" i="1"/>
  <c r="Y15" i="1"/>
  <c r="Z15" i="1" s="1"/>
  <c r="X15" i="1"/>
  <c r="AA14" i="1"/>
  <c r="Z14" i="1"/>
  <c r="Y14" i="1"/>
  <c r="X14" i="1"/>
  <c r="AA13" i="1"/>
  <c r="Y13" i="1"/>
  <c r="Z13" i="1" s="1"/>
  <c r="X13" i="1"/>
  <c r="Y12" i="1"/>
  <c r="Z12" i="1" s="1"/>
  <c r="X12" i="1"/>
  <c r="AA12" i="1" s="1"/>
  <c r="AA11" i="1"/>
  <c r="Y11" i="1"/>
  <c r="Z11" i="1" s="1"/>
  <c r="X11" i="1"/>
  <c r="AA10" i="1"/>
  <c r="Z10" i="1"/>
  <c r="Y10" i="1"/>
  <c r="X10" i="1"/>
  <c r="AA9" i="1"/>
  <c r="Y9" i="1"/>
  <c r="Z9" i="1" s="1"/>
  <c r="X9" i="1"/>
  <c r="Y8" i="1"/>
  <c r="Z8" i="1" s="1"/>
  <c r="X8" i="1"/>
  <c r="AA8" i="1" s="1"/>
  <c r="AA7" i="1"/>
  <c r="Y7" i="1"/>
  <c r="Z7" i="1" s="1"/>
  <c r="X7" i="1"/>
  <c r="AA6" i="1"/>
  <c r="Z6" i="1"/>
  <c r="Y6" i="1"/>
  <c r="X6" i="1"/>
  <c r="AA5" i="1"/>
  <c r="Y5" i="1"/>
  <c r="Z5" i="1" s="1"/>
  <c r="X5" i="1"/>
  <c r="Y4" i="1"/>
  <c r="Z4" i="1" s="1"/>
  <c r="X4" i="1"/>
  <c r="AA4" i="1" s="1"/>
  <c r="AA3" i="1"/>
  <c r="Y3" i="1"/>
  <c r="Z3" i="1" s="1"/>
  <c r="X3" i="1"/>
  <c r="AA2" i="1"/>
  <c r="Z2" i="1"/>
  <c r="Y2" i="1"/>
  <c r="X2" i="1"/>
  <c r="B38" i="3" l="1"/>
  <c r="J6" i="3"/>
  <c r="J13" i="3"/>
  <c r="I13" i="3"/>
  <c r="AA127" i="1"/>
  <c r="D6" i="4"/>
  <c r="I11" i="3"/>
  <c r="J24" i="3"/>
  <c r="J12" i="3"/>
  <c r="AA154" i="1"/>
  <c r="D7" i="4"/>
  <c r="J5" i="3"/>
  <c r="J20" i="3"/>
  <c r="J28" i="3"/>
  <c r="I22" i="3"/>
  <c r="J18" i="3"/>
  <c r="I14" i="3"/>
  <c r="I10" i="3"/>
  <c r="D3" i="4"/>
  <c r="I7" i="3"/>
  <c r="AA109" i="1"/>
  <c r="J14" i="3"/>
  <c r="I19" i="3"/>
  <c r="J21" i="3"/>
  <c r="D9" i="4"/>
  <c r="I23" i="3"/>
  <c r="AA272" i="1"/>
  <c r="I4" i="3"/>
  <c r="I6" i="3"/>
  <c r="I8" i="3"/>
  <c r="J11" i="3"/>
  <c r="J10" i="3"/>
  <c r="I31" i="3"/>
  <c r="K33" i="3"/>
  <c r="J31" i="3"/>
  <c r="J23" i="3"/>
  <c r="J2" i="3"/>
  <c r="J25" i="3"/>
  <c r="D33" i="3"/>
  <c r="I17" i="3"/>
  <c r="I25" i="3"/>
  <c r="I26" i="3"/>
  <c r="I29" i="3"/>
  <c r="AA361" i="1"/>
  <c r="AA299" i="1"/>
  <c r="I2" i="3"/>
  <c r="D5" i="4"/>
  <c r="I3" i="3"/>
  <c r="I9" i="3"/>
  <c r="AA77" i="1"/>
  <c r="AA274" i="1"/>
  <c r="I24" i="3"/>
  <c r="J26" i="3"/>
  <c r="J30" i="3"/>
  <c r="J19" i="3"/>
  <c r="J8" i="3"/>
  <c r="I12" i="3"/>
  <c r="J29" i="3"/>
  <c r="I5" i="3"/>
  <c r="D8" i="4"/>
  <c r="I21" i="3"/>
  <c r="I18" i="3"/>
  <c r="AA246" i="1"/>
  <c r="D2" i="4"/>
  <c r="D4" i="4"/>
  <c r="C33" i="3"/>
  <c r="I20" i="3"/>
  <c r="AA396" i="1"/>
  <c r="I32" i="3"/>
  <c r="E33" i="3"/>
  <c r="J32" i="3"/>
  <c r="F33" i="3"/>
  <c r="I28" i="3"/>
  <c r="AA414" i="1"/>
  <c r="G33" i="3"/>
  <c r="I30" i="3"/>
  <c r="I16" i="3"/>
  <c r="I33" i="3" l="1"/>
  <c r="J3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000-000001000000}">
      <text>
        <r>
          <rPr>
            <sz val="10"/>
            <rFont val="Noto Sans CJK SC"/>
            <family val="2"/>
          </rPr>
          <t>남한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행정안전부 주민등록인구 </t>
        </r>
        <r>
          <rPr>
            <sz val="10"/>
            <rFont val="Arial"/>
            <family val="2"/>
          </rPr>
          <t>2026</t>
        </r>
        <r>
          <rPr>
            <sz val="10"/>
            <rFont val="Noto Sans CJK SC"/>
            <family val="2"/>
          </rPr>
          <t xml:space="preserve">년 </t>
        </r>
        <r>
          <rPr>
            <sz val="10"/>
            <rFont val="Arial"/>
            <family val="2"/>
          </rPr>
          <t>8</t>
        </r>
        <r>
          <rPr>
            <sz val="10"/>
            <rFont val="Noto Sans CJK SC"/>
            <family val="2"/>
          </rPr>
          <t>월 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북한</t>
        </r>
        <r>
          <rPr>
            <sz val="10"/>
            <rFont val="Arial"/>
            <family val="2"/>
          </rPr>
          <t xml:space="preserve">: 2008 </t>
        </r>
        <r>
          <rPr>
            <sz val="10"/>
            <rFont val="Noto Sans CJK SC"/>
            <family val="2"/>
          </rPr>
          <t xml:space="preserve">센서스 </t>
        </r>
        <r>
          <rPr>
            <sz val="10"/>
            <rFont val="Arial"/>
            <family val="2"/>
          </rPr>
          <t xml:space="preserve">× 1.5. </t>
        </r>
        <r>
          <rPr>
            <sz val="10"/>
            <rFont val="Noto Sans CJK SC"/>
            <family val="2"/>
          </rPr>
          <t>병합 지역은 합산</t>
        </r>
        <r>
          <rPr>
            <sz val="10"/>
            <rFont val="Arial"/>
            <family val="2"/>
          </rPr>
          <t>.</t>
        </r>
      </text>
    </comment>
    <comment ref="M1" authorId="0" shapeId="0" xr:uid="{00000000-0006-0000-0000-000002000000}">
      <text>
        <r>
          <rPr>
            <sz val="10"/>
            <rFont val="Noto Sans CJK SC"/>
            <family val="2"/>
          </rPr>
          <t>연륙 섬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다리로 육지처럼 이동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무연륙 섬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항구 기본 보유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이곳 시작 세력은 상륙함 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척 추가</t>
        </r>
        <r>
          <rPr>
            <sz val="10"/>
            <rFont val="Arial"/>
            <family val="2"/>
          </rPr>
          <t>.</t>
        </r>
      </text>
    </comment>
    <comment ref="O1" authorId="0" shapeId="0" xr:uid="{00000000-0006-0000-0000-000003000000}">
      <text>
        <r>
          <rPr>
            <sz val="10"/>
            <rFont val="Noto Sans CJK SC"/>
            <family val="2"/>
          </rPr>
          <t>농장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어장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공장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은행 시작 단계</t>
        </r>
        <r>
          <rPr>
            <sz val="10"/>
            <rFont val="Arial"/>
            <family val="2"/>
          </rPr>
          <t xml:space="preserve">(0~2). </t>
        </r>
        <r>
          <rPr>
            <sz val="10"/>
            <rFont val="Noto Sans CJK SC"/>
            <family val="2"/>
          </rPr>
          <t>산업 구성 기반 분류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<sst xmlns="http://schemas.openxmlformats.org/spreadsheetml/2006/main" count="4940" uniqueCount="2131">
  <si>
    <t>ID</t>
  </si>
  <si>
    <t>표기명</t>
  </si>
  <si>
    <t>광역</t>
  </si>
  <si>
    <t>남북</t>
  </si>
  <si>
    <t>원명칭</t>
  </si>
  <si>
    <t>유형</t>
  </si>
  <si>
    <r>
      <rPr>
        <b/>
        <sz val="10"/>
        <color rgb="FFFFFFFF"/>
        <rFont val="Noto Sans CJK SC"/>
        <family val="2"/>
      </rPr>
      <t xml:space="preserve">조선 </t>
    </r>
    <r>
      <rPr>
        <b/>
        <sz val="10"/>
        <color rgb="FFFFFFFF"/>
        <rFont val="Arial"/>
        <family val="2"/>
      </rPr>
      <t>8</t>
    </r>
    <r>
      <rPr>
        <b/>
        <sz val="10"/>
        <color rgb="FFFFFFFF"/>
        <rFont val="Noto Sans CJK SC"/>
        <family val="2"/>
      </rPr>
      <t>도</t>
    </r>
  </si>
  <si>
    <r>
      <rPr>
        <b/>
        <sz val="10"/>
        <color rgb="FFFFFFFF"/>
        <rFont val="Noto Sans CJK SC"/>
        <family val="2"/>
      </rPr>
      <t>인구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</si>
  <si>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원자료 인구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명</t>
    </r>
    <r>
      <rPr>
        <b/>
        <sz val="10"/>
        <color rgb="FFFFFFFF"/>
        <rFont val="Arial"/>
        <family val="2"/>
      </rPr>
      <t>)</t>
    </r>
  </si>
  <si>
    <t>인구 기준</t>
  </si>
  <si>
    <t>해안</t>
  </si>
  <si>
    <t>인접 해역</t>
  </si>
  <si>
    <t>섬 구분</t>
  </si>
  <si>
    <t>시작 항구</t>
  </si>
  <si>
    <t>농장</t>
  </si>
  <si>
    <t>어장</t>
  </si>
  <si>
    <t>공장</t>
  </si>
  <si>
    <t>은행</t>
  </si>
  <si>
    <r>
      <rPr>
        <b/>
        <sz val="10"/>
        <color rgb="FFFFFFFF"/>
        <rFont val="Noto Sans CJK SC"/>
        <family val="2"/>
      </rPr>
      <t>정유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석유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턴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</si>
  <si>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탄광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석탄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턴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</si>
  <si>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자체발전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전기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턴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</si>
  <si>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발전원</t>
    </r>
    <r>
      <rPr>
        <b/>
        <sz val="10"/>
        <color rgb="FFFFFFFF"/>
        <rFont val="Arial"/>
        <family val="2"/>
      </rPr>
      <t>·</t>
    </r>
    <r>
      <rPr>
        <b/>
        <sz val="10"/>
        <color rgb="FFFFFFFF"/>
        <rFont val="Noto Sans CJK SC"/>
        <family val="2"/>
      </rPr>
      <t>발전소 소재</t>
    </r>
  </si>
  <si>
    <t>특산물</t>
  </si>
  <si>
    <r>
      <rPr>
        <b/>
        <sz val="10"/>
        <color rgb="FFFFFFFF"/>
        <rFont val="Noto Sans CJK SC"/>
        <family val="2"/>
      </rPr>
      <t>초기 산출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만원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턴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</si>
  <si>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식량 생산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턴</t>
    </r>
  </si>
  <si>
    <r>
      <rPr>
        <b/>
        <sz val="10"/>
        <color rgb="FFFFFFFF"/>
        <rFont val="Noto Sans CJK SC"/>
        <family val="2"/>
      </rPr>
      <t>식량 수지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턴</t>
    </r>
  </si>
  <si>
    <r>
      <rPr>
        <b/>
        <sz val="10"/>
        <color rgb="FFFFFFFF"/>
        <rFont val="Noto Sans CJK SC"/>
        <family val="2"/>
      </rPr>
      <t>기본 세수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턴</t>
    </r>
  </si>
  <si>
    <t>비고</t>
  </si>
  <si>
    <t>S001</t>
  </si>
  <si>
    <t>서울 송파구</t>
  </si>
  <si>
    <t>서울</t>
  </si>
  <si>
    <t>남</t>
  </si>
  <si>
    <t>서울특별시 송파구</t>
  </si>
  <si>
    <r>
      <rPr>
        <sz val="10"/>
        <rFont val="Noto Sans CJK SC"/>
        <family val="2"/>
      </rPr>
      <t>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구역</t>
    </r>
  </si>
  <si>
    <t>경기</t>
  </si>
  <si>
    <t>649212</t>
  </si>
  <si>
    <r>
      <rPr>
        <sz val="10"/>
        <rFont val="Arial"/>
        <family val="2"/>
      </rPr>
      <t xml:space="preserve">2026.8 </t>
    </r>
    <r>
      <rPr>
        <sz val="10"/>
        <rFont val="Noto Sans CJK SC"/>
        <family val="2"/>
      </rPr>
      <t>주민등록</t>
    </r>
  </si>
  <si>
    <t>N</t>
  </si>
  <si>
    <t>S002</t>
  </si>
  <si>
    <t>서울 강남구</t>
  </si>
  <si>
    <t>서울특별시 강남구</t>
  </si>
  <si>
    <t>552357</t>
  </si>
  <si>
    <t>S003</t>
  </si>
  <si>
    <t>서울 강서구</t>
  </si>
  <si>
    <t>서울특별시 강서구</t>
  </si>
  <si>
    <t>547821</t>
  </si>
  <si>
    <t>S004</t>
  </si>
  <si>
    <t>서울 강동구</t>
  </si>
  <si>
    <t>서울특별시 강동구</t>
  </si>
  <si>
    <t>498222</t>
  </si>
  <si>
    <t>S005</t>
  </si>
  <si>
    <t>서울 노원구</t>
  </si>
  <si>
    <t>서울특별시 노원구</t>
  </si>
  <si>
    <t>480045</t>
  </si>
  <si>
    <t>S006</t>
  </si>
  <si>
    <t>서울 관악구</t>
  </si>
  <si>
    <t>서울특별시 관악구</t>
  </si>
  <si>
    <t>477297</t>
  </si>
  <si>
    <t>S007</t>
  </si>
  <si>
    <t>서울 은평구</t>
  </si>
  <si>
    <t>서울특별시 은평구</t>
  </si>
  <si>
    <t>452626</t>
  </si>
  <si>
    <t>S008</t>
  </si>
  <si>
    <t>서울 성북구</t>
  </si>
  <si>
    <t>서울특별시 성북구</t>
  </si>
  <si>
    <t>421106</t>
  </si>
  <si>
    <t>S009</t>
  </si>
  <si>
    <t>서울 양천구</t>
  </si>
  <si>
    <t>서울특별시 양천구</t>
  </si>
  <si>
    <t>420127</t>
  </si>
  <si>
    <t>S010</t>
  </si>
  <si>
    <t>서울 서초구</t>
  </si>
  <si>
    <t>서울특별시 서초구</t>
  </si>
  <si>
    <t>416928</t>
  </si>
  <si>
    <t>S011</t>
  </si>
  <si>
    <t>서울 구로구</t>
  </si>
  <si>
    <t>서울특별시 구로구</t>
  </si>
  <si>
    <t>382302</t>
  </si>
  <si>
    <t>S012</t>
  </si>
  <si>
    <t>서울 중랑구</t>
  </si>
  <si>
    <t>서울특별시 중랑구</t>
  </si>
  <si>
    <t>376504</t>
  </si>
  <si>
    <t>S013</t>
  </si>
  <si>
    <t>서울 영등포구</t>
  </si>
  <si>
    <t>서울특별시 영등포구</t>
  </si>
  <si>
    <t>371420</t>
  </si>
  <si>
    <t>S014</t>
  </si>
  <si>
    <t>서울 동작구</t>
  </si>
  <si>
    <t>서울특별시 동작구</t>
  </si>
  <si>
    <t>371324</t>
  </si>
  <si>
    <t>S015</t>
  </si>
  <si>
    <t>서울 마포구</t>
  </si>
  <si>
    <t>서울특별시 마포구</t>
  </si>
  <si>
    <t>356008</t>
  </si>
  <si>
    <t>S016</t>
  </si>
  <si>
    <t>서울 동대문구</t>
  </si>
  <si>
    <t>서울특별시 동대문구</t>
  </si>
  <si>
    <t>353448</t>
  </si>
  <si>
    <t>S017</t>
  </si>
  <si>
    <t>서울 광진구</t>
  </si>
  <si>
    <t>서울특별시 광진구</t>
  </si>
  <si>
    <t>330791</t>
  </si>
  <si>
    <t>S018</t>
  </si>
  <si>
    <t>서울 서대문구</t>
  </si>
  <si>
    <t>서울특별시 서대문구</t>
  </si>
  <si>
    <t>299492</t>
  </si>
  <si>
    <t>S019</t>
  </si>
  <si>
    <t>서울 도봉구</t>
  </si>
  <si>
    <t>서울특별시 도봉구</t>
  </si>
  <si>
    <t>297820</t>
  </si>
  <si>
    <t>S020</t>
  </si>
  <si>
    <t>서울 강북구</t>
  </si>
  <si>
    <t>서울특별시 강북구</t>
  </si>
  <si>
    <t>277509</t>
  </si>
  <si>
    <t>S021</t>
  </si>
  <si>
    <t>서울 성동구</t>
  </si>
  <si>
    <t>서울특별시 성동구</t>
  </si>
  <si>
    <t>274199</t>
  </si>
  <si>
    <t>S022</t>
  </si>
  <si>
    <t>서울 금천구</t>
  </si>
  <si>
    <t>서울특별시 금천구</t>
  </si>
  <si>
    <t>222368</t>
  </si>
  <si>
    <t>S023</t>
  </si>
  <si>
    <t>서울 용산구</t>
  </si>
  <si>
    <t>서울특별시 용산구</t>
  </si>
  <si>
    <t>199459</t>
  </si>
  <si>
    <t>S024</t>
  </si>
  <si>
    <t>서울 종로구</t>
  </si>
  <si>
    <t>서울특별시 종로구</t>
  </si>
  <si>
    <t>135935</t>
  </si>
  <si>
    <t>S025</t>
  </si>
  <si>
    <t>서울 중구</t>
  </si>
  <si>
    <t>서울특별시 중구</t>
  </si>
  <si>
    <t>117305</t>
  </si>
  <si>
    <t>S026</t>
  </si>
  <si>
    <t>부산 해운대구</t>
  </si>
  <si>
    <t>부산</t>
  </si>
  <si>
    <t>부산광역시 해운대구</t>
  </si>
  <si>
    <t>경상</t>
  </si>
  <si>
    <t>369727</t>
  </si>
  <si>
    <t>Y</t>
  </si>
  <si>
    <t>남동해</t>
  </si>
  <si>
    <t>S027</t>
  </si>
  <si>
    <t>부산 부산진구</t>
  </si>
  <si>
    <t>부산광역시 부산진구</t>
  </si>
  <si>
    <t>364184</t>
  </si>
  <si>
    <t>S028</t>
  </si>
  <si>
    <t>부산 사하구</t>
  </si>
  <si>
    <t>부산광역시 사하구</t>
  </si>
  <si>
    <t>281184</t>
  </si>
  <si>
    <t>S029</t>
  </si>
  <si>
    <t>부산 동래구</t>
  </si>
  <si>
    <t>부산광역시 동래구</t>
  </si>
  <si>
    <t>270512</t>
  </si>
  <si>
    <t>S030</t>
  </si>
  <si>
    <t>부산 북구</t>
  </si>
  <si>
    <t>부산광역시 북구</t>
  </si>
  <si>
    <t>260069</t>
  </si>
  <si>
    <t>S031</t>
  </si>
  <si>
    <t>부산 남구</t>
  </si>
  <si>
    <t>부산광역시 남구</t>
  </si>
  <si>
    <t>254960</t>
  </si>
  <si>
    <t>S032</t>
  </si>
  <si>
    <t>부산 연제구</t>
  </si>
  <si>
    <t>부산광역시 연제구</t>
  </si>
  <si>
    <t>211603</t>
  </si>
  <si>
    <t>S033</t>
  </si>
  <si>
    <t>부산 금정구</t>
  </si>
  <si>
    <t>부산광역시 금정구</t>
  </si>
  <si>
    <t>205341</t>
  </si>
  <si>
    <t>S034</t>
  </si>
  <si>
    <t>부산 사상구</t>
  </si>
  <si>
    <t>부산광역시 사상구</t>
  </si>
  <si>
    <t>191912</t>
  </si>
  <si>
    <t>S035</t>
  </si>
  <si>
    <t>부산 기장군</t>
  </si>
  <si>
    <t>부산광역시 기장군</t>
  </si>
  <si>
    <t>군</t>
  </si>
  <si>
    <t>175482</t>
  </si>
  <si>
    <r>
      <rPr>
        <sz val="10"/>
        <rFont val="Noto Sans CJK SC"/>
        <family val="2"/>
      </rPr>
      <t>남동해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동남해</t>
    </r>
  </si>
  <si>
    <r>
      <rPr>
        <sz val="10"/>
        <rFont val="Noto Sans CJK SC"/>
        <family val="2"/>
      </rPr>
      <t>원자력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고리</t>
    </r>
    <r>
      <rPr>
        <sz val="10"/>
        <rFont val="Arial"/>
        <family val="2"/>
      </rPr>
      <t>)</t>
    </r>
  </si>
  <si>
    <t>기장 멸치</t>
  </si>
  <si>
    <t>S036</t>
  </si>
  <si>
    <t>부산 수영구</t>
  </si>
  <si>
    <t>부산광역시 수영구</t>
  </si>
  <si>
    <t>169336</t>
  </si>
  <si>
    <t>S037</t>
  </si>
  <si>
    <t>부산 강서구</t>
  </si>
  <si>
    <t>부산광역시 강서구</t>
  </si>
  <si>
    <t>154782</t>
  </si>
  <si>
    <t>대저 토마토</t>
  </si>
  <si>
    <t>S038</t>
  </si>
  <si>
    <t>부산 서구</t>
  </si>
  <si>
    <t>부산광역시 서구</t>
  </si>
  <si>
    <t>100964</t>
  </si>
  <si>
    <t>S039</t>
  </si>
  <si>
    <t>부산 영도구</t>
  </si>
  <si>
    <t>부산광역시 영도구</t>
  </si>
  <si>
    <t>100170</t>
  </si>
  <si>
    <t>연륙 섬</t>
  </si>
  <si>
    <t>S040</t>
  </si>
  <si>
    <t>부산 동구</t>
  </si>
  <si>
    <t>부산광역시 동구</t>
  </si>
  <si>
    <t>83115</t>
  </si>
  <si>
    <t>S041</t>
  </si>
  <si>
    <t>부산 중구</t>
  </si>
  <si>
    <t>부산광역시 중구</t>
  </si>
  <si>
    <t>36126</t>
  </si>
  <si>
    <t>S042</t>
  </si>
  <si>
    <t>대구 달서구</t>
  </si>
  <si>
    <t>대구</t>
  </si>
  <si>
    <t>대구광역시 달서구</t>
  </si>
  <si>
    <t>512577</t>
  </si>
  <si>
    <t>S043</t>
  </si>
  <si>
    <t>대구 수성구</t>
  </si>
  <si>
    <t>대구광역시 수성구</t>
  </si>
  <si>
    <t>407570</t>
  </si>
  <si>
    <t>S044</t>
  </si>
  <si>
    <t>대구 북구</t>
  </si>
  <si>
    <t>대구광역시 북구</t>
  </si>
  <si>
    <t>406214</t>
  </si>
  <si>
    <t>S045</t>
  </si>
  <si>
    <t>대구 동구</t>
  </si>
  <si>
    <t>대구광역시 동구</t>
  </si>
  <si>
    <t>338699</t>
  </si>
  <si>
    <t>S046</t>
  </si>
  <si>
    <t>대구 달성군</t>
  </si>
  <si>
    <t>대구광역시 달성군</t>
  </si>
  <si>
    <t>251789</t>
  </si>
  <si>
    <t>S047</t>
  </si>
  <si>
    <t>대구 서구</t>
  </si>
  <si>
    <t>대구광역시 서구</t>
  </si>
  <si>
    <t>163319</t>
  </si>
  <si>
    <t>S048</t>
  </si>
  <si>
    <t>대구 남구</t>
  </si>
  <si>
    <t>대구광역시 남구</t>
  </si>
  <si>
    <t>141722</t>
  </si>
  <si>
    <t>S049</t>
  </si>
  <si>
    <t>대구 중구</t>
  </si>
  <si>
    <t>대구광역시 중구</t>
  </si>
  <si>
    <t>101894</t>
  </si>
  <si>
    <t>S050</t>
  </si>
  <si>
    <t>대구 군위군</t>
  </si>
  <si>
    <t>대구광역시 군위군</t>
  </si>
  <si>
    <t>22493</t>
  </si>
  <si>
    <t>S051</t>
  </si>
  <si>
    <t>인천 부평구</t>
  </si>
  <si>
    <t>인천</t>
  </si>
  <si>
    <t>인천광역시 부평구</t>
  </si>
  <si>
    <t>487282</t>
  </si>
  <si>
    <t>S052</t>
  </si>
  <si>
    <t>인천 남동구</t>
  </si>
  <si>
    <t>인천광역시 남동구</t>
  </si>
  <si>
    <t>478603</t>
  </si>
  <si>
    <t>서남해</t>
  </si>
  <si>
    <t>S053</t>
  </si>
  <si>
    <t>인천 미추홀구</t>
  </si>
  <si>
    <t>인천광역시 미추홀구</t>
  </si>
  <si>
    <t>419123</t>
  </si>
  <si>
    <t>S054</t>
  </si>
  <si>
    <t>인천 연수구</t>
  </si>
  <si>
    <t>인천광역시 연수구</t>
  </si>
  <si>
    <t>410369</t>
  </si>
  <si>
    <t>S055</t>
  </si>
  <si>
    <t>인천 서해구</t>
  </si>
  <si>
    <t>인천광역시 서해구</t>
  </si>
  <si>
    <t>392072</t>
  </si>
  <si>
    <r>
      <rPr>
        <sz val="10"/>
        <rFont val="Arial"/>
        <family val="2"/>
      </rPr>
      <t>SK</t>
    </r>
    <r>
      <rPr>
        <sz val="10"/>
        <rFont val="Noto Sans CJK SC"/>
        <family val="2"/>
      </rPr>
      <t>인천석유화학</t>
    </r>
  </si>
  <si>
    <t>S056</t>
  </si>
  <si>
    <t>인천 검단구</t>
  </si>
  <si>
    <t>인천광역시 검단구</t>
  </si>
  <si>
    <t>276078</t>
  </si>
  <si>
    <t>S057</t>
  </si>
  <si>
    <t>인천 계양구</t>
  </si>
  <si>
    <t>인천광역시 계양구</t>
  </si>
  <si>
    <t>275966</t>
  </si>
  <si>
    <t>S058</t>
  </si>
  <si>
    <t>인천 영종구</t>
  </si>
  <si>
    <t>인천광역시 영종구</t>
  </si>
  <si>
    <t>138659</t>
  </si>
  <si>
    <t>S059</t>
  </si>
  <si>
    <t>인천 제물포구</t>
  </si>
  <si>
    <t>인천광역시 제물포구</t>
  </si>
  <si>
    <t>99217</t>
  </si>
  <si>
    <t>S060</t>
  </si>
  <si>
    <t>인천 강화군</t>
  </si>
  <si>
    <t>인천광역시 강화군</t>
  </si>
  <si>
    <t>69541</t>
  </si>
  <si>
    <r>
      <rPr>
        <sz val="10"/>
        <rFont val="Noto Sans CJK SC"/>
        <family val="2"/>
      </rPr>
      <t>서남해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서북해</t>
    </r>
  </si>
  <si>
    <t>S061</t>
  </si>
  <si>
    <t>광주 북구</t>
  </si>
  <si>
    <t>광주</t>
  </si>
  <si>
    <t>전남광주통합특별시 북구</t>
  </si>
  <si>
    <t>전라</t>
  </si>
  <si>
    <t>416582</t>
  </si>
  <si>
    <t>S062</t>
  </si>
  <si>
    <t>광주 광산구</t>
  </si>
  <si>
    <t>전남광주통합특별시 광산구</t>
  </si>
  <si>
    <t>382763</t>
  </si>
  <si>
    <t>S063</t>
  </si>
  <si>
    <t>광주 서구</t>
  </si>
  <si>
    <t>전남광주통합특별시 서구</t>
  </si>
  <si>
    <t>274234</t>
  </si>
  <si>
    <t>S064</t>
  </si>
  <si>
    <t>광주 남구</t>
  </si>
  <si>
    <t>전남광주통합특별시 남구</t>
  </si>
  <si>
    <t>205051</t>
  </si>
  <si>
    <t>S065</t>
  </si>
  <si>
    <t>광주 동구</t>
  </si>
  <si>
    <t>전남광주통합특별시 동구</t>
  </si>
  <si>
    <t>105328</t>
  </si>
  <si>
    <t>S066</t>
  </si>
  <si>
    <t>대전 서구</t>
  </si>
  <si>
    <t>대전</t>
  </si>
  <si>
    <t>대전광역시 서구</t>
  </si>
  <si>
    <t>충청</t>
  </si>
  <si>
    <t>464238</t>
  </si>
  <si>
    <t>S067</t>
  </si>
  <si>
    <t>대전 유성구</t>
  </si>
  <si>
    <t>대전광역시 유성구</t>
  </si>
  <si>
    <t>373361</t>
  </si>
  <si>
    <t>S068</t>
  </si>
  <si>
    <t>대전 중구</t>
  </si>
  <si>
    <t>대전광역시 중구</t>
  </si>
  <si>
    <t>223664</t>
  </si>
  <si>
    <t>S069</t>
  </si>
  <si>
    <t>대전 동구</t>
  </si>
  <si>
    <t>대전광역시 동구</t>
  </si>
  <si>
    <t>217981</t>
  </si>
  <si>
    <t>S070</t>
  </si>
  <si>
    <t>대전 대덕구</t>
  </si>
  <si>
    <t>대전광역시 대덕구</t>
  </si>
  <si>
    <t>163594</t>
  </si>
  <si>
    <t>S071</t>
  </si>
  <si>
    <t>울산 남구</t>
  </si>
  <si>
    <t>울산</t>
  </si>
  <si>
    <t>울산광역시 남구</t>
  </si>
  <si>
    <t>304655</t>
  </si>
  <si>
    <t>동남해</t>
  </si>
  <si>
    <r>
      <rPr>
        <sz val="10"/>
        <rFont val="Arial"/>
        <family val="2"/>
      </rPr>
      <t>SK</t>
    </r>
    <r>
      <rPr>
        <sz val="10"/>
        <rFont val="Noto Sans CJK SC"/>
        <family val="2"/>
      </rPr>
      <t>에너지 울산</t>
    </r>
    <r>
      <rPr>
        <sz val="10"/>
        <rFont val="Arial"/>
        <family val="2"/>
      </rPr>
      <t>CLX</t>
    </r>
  </si>
  <si>
    <t>S072</t>
  </si>
  <si>
    <t>울산 울주군</t>
  </si>
  <si>
    <t>울산광역시 울주군</t>
  </si>
  <si>
    <t>218342</t>
  </si>
  <si>
    <r>
      <rPr>
        <sz val="10"/>
        <rFont val="Noto Sans CJK SC"/>
        <family val="2"/>
      </rPr>
      <t>원자력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새울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</si>
  <si>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S-OIL </t>
    </r>
    <r>
      <rPr>
        <sz val="10"/>
        <rFont val="Noto Sans CJK SC"/>
        <family val="2"/>
      </rPr>
      <t>온산</t>
    </r>
  </si>
  <si>
    <t>S073</t>
  </si>
  <si>
    <t>울산 북구</t>
  </si>
  <si>
    <t>울산광역시 북구</t>
  </si>
  <si>
    <t>213391</t>
  </si>
  <si>
    <t>S074</t>
  </si>
  <si>
    <t>울산 중구</t>
  </si>
  <si>
    <t>울산광역시 중구</t>
  </si>
  <si>
    <t>202545</t>
  </si>
  <si>
    <t>S075</t>
  </si>
  <si>
    <t>울산 동구</t>
  </si>
  <si>
    <t>울산광역시 동구</t>
  </si>
  <si>
    <t>147440</t>
  </si>
  <si>
    <t>S076</t>
  </si>
  <si>
    <t>세종시</t>
  </si>
  <si>
    <t>세종</t>
  </si>
  <si>
    <t>세종특별자치시</t>
  </si>
  <si>
    <t>시</t>
  </si>
  <si>
    <t>390738</t>
  </si>
  <si>
    <t>조치원 복숭아</t>
  </si>
  <si>
    <t>S077</t>
  </si>
  <si>
    <t>경기 수원시</t>
  </si>
  <si>
    <t>경기도 수원시</t>
  </si>
  <si>
    <t>1185677</t>
  </si>
  <si>
    <t>S078</t>
  </si>
  <si>
    <t>경기 용인시</t>
  </si>
  <si>
    <t>경기도 용인시</t>
  </si>
  <si>
    <t>1091437</t>
  </si>
  <si>
    <t>S079</t>
  </si>
  <si>
    <t>경기 고양시</t>
  </si>
  <si>
    <t>경기도 고양시</t>
  </si>
  <si>
    <t>1056589</t>
  </si>
  <si>
    <t>S080</t>
  </si>
  <si>
    <t>경기 화성시</t>
  </si>
  <si>
    <t>경기도 화성시</t>
  </si>
  <si>
    <t>1000464</t>
  </si>
  <si>
    <t>송산 포도</t>
  </si>
  <si>
    <t>S081</t>
  </si>
  <si>
    <t>경기 성남시</t>
  </si>
  <si>
    <t>경기도 성남시</t>
  </si>
  <si>
    <t>899806</t>
  </si>
  <si>
    <t>S082</t>
  </si>
  <si>
    <t>경기 부천시</t>
  </si>
  <si>
    <t>경기도 부천시</t>
  </si>
  <si>
    <t>754159</t>
  </si>
  <si>
    <t>S083</t>
  </si>
  <si>
    <t>경기 남양주시</t>
  </si>
  <si>
    <t>경기도 남양주시</t>
  </si>
  <si>
    <t>727158</t>
  </si>
  <si>
    <t>먹골배</t>
  </si>
  <si>
    <t>S084</t>
  </si>
  <si>
    <t>경기 평택시</t>
  </si>
  <si>
    <t>경기도 평택시</t>
  </si>
  <si>
    <t>622663</t>
  </si>
  <si>
    <t>S085</t>
  </si>
  <si>
    <t>경기 안산시</t>
  </si>
  <si>
    <t>경기도 안산시</t>
  </si>
  <si>
    <t>608487</t>
  </si>
  <si>
    <t>대부 포도</t>
  </si>
  <si>
    <t>S086</t>
  </si>
  <si>
    <t>경기 안양시</t>
  </si>
  <si>
    <t>경기도 안양시</t>
  </si>
  <si>
    <t>562007</t>
  </si>
  <si>
    <t>S087</t>
  </si>
  <si>
    <t>경기 파주시</t>
  </si>
  <si>
    <t>경기도 파주시</t>
  </si>
  <si>
    <t>535692</t>
  </si>
  <si>
    <t>장단콩</t>
  </si>
  <si>
    <t>S088</t>
  </si>
  <si>
    <t>경기 시흥시</t>
  </si>
  <si>
    <t>경기도 시흥시</t>
  </si>
  <si>
    <t>515337</t>
  </si>
  <si>
    <t>S089</t>
  </si>
  <si>
    <t>경기 김포시</t>
  </si>
  <si>
    <t>경기도 김포시</t>
  </si>
  <si>
    <t>483679</t>
  </si>
  <si>
    <t>김포 금쌀</t>
  </si>
  <si>
    <t>S090</t>
  </si>
  <si>
    <t>경기 의정부시</t>
  </si>
  <si>
    <t>경기도 의정부시</t>
  </si>
  <si>
    <t>461977</t>
  </si>
  <si>
    <t>S091</t>
  </si>
  <si>
    <t>경기 광주시</t>
  </si>
  <si>
    <t>경기도 광주시</t>
  </si>
  <si>
    <t>401246</t>
  </si>
  <si>
    <t>퇴촌 토마토</t>
  </si>
  <si>
    <t>S092</t>
  </si>
  <si>
    <t>경기 하남시</t>
  </si>
  <si>
    <t>경기도 하남시</t>
  </si>
  <si>
    <t>327389</t>
  </si>
  <si>
    <t>S093</t>
  </si>
  <si>
    <t>경기 광명시</t>
  </si>
  <si>
    <t>경기도 광명시</t>
  </si>
  <si>
    <t>303641</t>
  </si>
  <si>
    <t>S094</t>
  </si>
  <si>
    <t>경기 양주시</t>
  </si>
  <si>
    <t>경기도 양주시</t>
  </si>
  <si>
    <t>297605</t>
  </si>
  <si>
    <t>S095</t>
  </si>
  <si>
    <t>경기 오산시</t>
  </si>
  <si>
    <t>경기도 오산시</t>
  </si>
  <si>
    <t>255303</t>
  </si>
  <si>
    <t>S096</t>
  </si>
  <si>
    <t>경기 군포시</t>
  </si>
  <si>
    <t>경기도 군포시</t>
  </si>
  <si>
    <t>249066</t>
  </si>
  <si>
    <t>S097</t>
  </si>
  <si>
    <t>경기 이천시</t>
  </si>
  <si>
    <t>경기도 이천시</t>
  </si>
  <si>
    <t>227032</t>
  </si>
  <si>
    <t>이천 쌀</t>
  </si>
  <si>
    <t>S098</t>
  </si>
  <si>
    <t>경기 안성시</t>
  </si>
  <si>
    <t>경기도 안성시</t>
  </si>
  <si>
    <t>199484</t>
  </si>
  <si>
    <t>S099</t>
  </si>
  <si>
    <t>경기 구리시</t>
  </si>
  <si>
    <t>경기도 구리시</t>
  </si>
  <si>
    <t>188134</t>
  </si>
  <si>
    <t>S100</t>
  </si>
  <si>
    <t>경기 의왕시</t>
  </si>
  <si>
    <t>경기도 의왕시</t>
  </si>
  <si>
    <t>166540</t>
  </si>
  <si>
    <t>S101</t>
  </si>
  <si>
    <t>경기 포천시</t>
  </si>
  <si>
    <t>경기도 포천시</t>
  </si>
  <si>
    <t>140397</t>
  </si>
  <si>
    <t>S102</t>
  </si>
  <si>
    <t>경기 양평군</t>
  </si>
  <si>
    <t>경기도 양평군</t>
  </si>
  <si>
    <t>127137</t>
  </si>
  <si>
    <t>S103</t>
  </si>
  <si>
    <t>경기 여주시</t>
  </si>
  <si>
    <t>경기도 여주시</t>
  </si>
  <si>
    <t>113348</t>
  </si>
  <si>
    <t>여주 고구마</t>
  </si>
  <si>
    <t>S104</t>
  </si>
  <si>
    <t>경기 동두천시</t>
  </si>
  <si>
    <t>경기도 동두천시</t>
  </si>
  <si>
    <t>86168</t>
  </si>
  <si>
    <t>S105</t>
  </si>
  <si>
    <t>경기 과천시</t>
  </si>
  <si>
    <t>경기도 과천시</t>
  </si>
  <si>
    <t>81107</t>
  </si>
  <si>
    <t>S106</t>
  </si>
  <si>
    <t>경기 가평군</t>
  </si>
  <si>
    <t>경기도 가평군</t>
  </si>
  <si>
    <t>62046</t>
  </si>
  <si>
    <t>가평 잣</t>
  </si>
  <si>
    <t>S107</t>
  </si>
  <si>
    <t>경기 연천군</t>
  </si>
  <si>
    <t>경기도 연천군</t>
  </si>
  <si>
    <t>43143</t>
  </si>
  <si>
    <t>연천 율무</t>
  </si>
  <si>
    <t>S108</t>
  </si>
  <si>
    <t>강원 원주시</t>
  </si>
  <si>
    <t>강원</t>
  </si>
  <si>
    <t>강원특별자치도 원주시</t>
  </si>
  <si>
    <t>365379</t>
  </si>
  <si>
    <t>치악산 복숭아</t>
  </si>
  <si>
    <t>S109</t>
  </si>
  <si>
    <t>강원 춘천시</t>
  </si>
  <si>
    <t>강원특별자치도 춘천시</t>
  </si>
  <si>
    <t>284783</t>
  </si>
  <si>
    <t>S110</t>
  </si>
  <si>
    <t>강원 강릉시</t>
  </si>
  <si>
    <t>강원특별자치도 강릉시</t>
  </si>
  <si>
    <t>205440</t>
  </si>
  <si>
    <r>
      <rPr>
        <sz val="10"/>
        <rFont val="Noto Sans CJK SC"/>
        <family val="2"/>
      </rPr>
      <t>강릉안인화력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</si>
  <si>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주문진 오징어</t>
  </si>
  <si>
    <t>S111</t>
  </si>
  <si>
    <t>강원 철원군</t>
  </si>
  <si>
    <t>남북 병합</t>
  </si>
  <si>
    <r>
      <rPr>
        <sz val="10"/>
        <rFont val="Noto Sans CJK SC"/>
        <family val="2"/>
      </rPr>
      <t xml:space="preserve">강원특별자치도 철원군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강원도 철원군</t>
    </r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</si>
  <si>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2"/>
      </rPr>
      <t xml:space="preserve">39598 + </t>
    </r>
    <r>
      <rPr>
        <sz val="10"/>
        <rFont val="Noto Sans CJK SC"/>
        <family val="2"/>
      </rPr>
      <t xml:space="preserve">북 </t>
    </r>
    <r>
      <rPr>
        <sz val="10"/>
        <rFont val="Arial"/>
        <family val="2"/>
      </rPr>
      <t>62418</t>
    </r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</si>
  <si>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2"/>
      </rPr>
      <t xml:space="preserve">2026.8 + </t>
    </r>
    <r>
      <rPr>
        <sz val="10"/>
        <rFont val="Noto Sans CJK SC"/>
        <family val="2"/>
      </rPr>
      <t xml:space="preserve">북 </t>
    </r>
    <r>
      <rPr>
        <sz val="10"/>
        <rFont val="Arial"/>
        <family val="2"/>
      </rPr>
      <t>2008×1.5</t>
    </r>
  </si>
  <si>
    <t>철원 오대쌀</t>
  </si>
  <si>
    <t>S112</t>
  </si>
  <si>
    <t>강원 고성군</t>
  </si>
  <si>
    <r>
      <rPr>
        <sz val="10"/>
        <rFont val="Noto Sans CJK SC"/>
        <family val="2"/>
      </rPr>
      <t xml:space="preserve">강원특별자치도 고성군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강원도 고성군</t>
    </r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</si>
  <si>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2"/>
      </rPr>
      <t xml:space="preserve">27196 + </t>
    </r>
    <r>
      <rPr>
        <sz val="10"/>
        <rFont val="Noto Sans CJK SC"/>
        <family val="2"/>
      </rPr>
      <t xml:space="preserve">북 </t>
    </r>
    <r>
      <rPr>
        <sz val="10"/>
        <rFont val="Arial"/>
        <family val="2"/>
      </rPr>
      <t>61277</t>
    </r>
  </si>
  <si>
    <r>
      <rPr>
        <sz val="10"/>
        <rFont val="Noto Sans CJK SC"/>
        <family val="2"/>
      </rPr>
      <t>동남해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동북해</t>
    </r>
  </si>
  <si>
    <t>고성 명태</t>
  </si>
  <si>
    <t>S113</t>
  </si>
  <si>
    <t>강원 동해시</t>
  </si>
  <si>
    <t>강원특별자치도 동해시</t>
  </si>
  <si>
    <t>85534</t>
  </si>
  <si>
    <t>묵호 문어</t>
  </si>
  <si>
    <t>S114</t>
  </si>
  <si>
    <t>강원 속초시</t>
  </si>
  <si>
    <t>강원특별자치도 속초시</t>
  </si>
  <si>
    <t>78788</t>
  </si>
  <si>
    <t>붉은대게</t>
  </si>
  <si>
    <t>S115</t>
  </si>
  <si>
    <t>강원 홍천군</t>
  </si>
  <si>
    <t>강원특별자치도 홍천군</t>
  </si>
  <si>
    <t>65817</t>
  </si>
  <si>
    <t>홍천 찰옥수수</t>
  </si>
  <si>
    <t>S116</t>
  </si>
  <si>
    <t>강원 삼척시</t>
  </si>
  <si>
    <t>강원특별자치도 삼척시</t>
  </si>
  <si>
    <t>60041</t>
  </si>
  <si>
    <r>
      <rPr>
        <sz val="10"/>
        <rFont val="Noto Sans CJK SC"/>
        <family val="2"/>
      </rPr>
      <t>삼척블루파워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</si>
  <si>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삼척 곰치</t>
  </si>
  <si>
    <t>S117</t>
  </si>
  <si>
    <t>강원 횡성군</t>
  </si>
  <si>
    <t>강원특별자치도 횡성군</t>
  </si>
  <si>
    <t>45465</t>
  </si>
  <si>
    <t>횡성 한우</t>
  </si>
  <si>
    <t>S118</t>
  </si>
  <si>
    <t>강원 평창군</t>
  </si>
  <si>
    <t>강원특별자치도 평창군</t>
  </si>
  <si>
    <t>39849</t>
  </si>
  <si>
    <t>평창 감자</t>
  </si>
  <si>
    <t>S119</t>
  </si>
  <si>
    <t>강원 태백시</t>
  </si>
  <si>
    <t>강원특별자치도 태백시</t>
  </si>
  <si>
    <t>36680</t>
  </si>
  <si>
    <t>고랭지 배추</t>
  </si>
  <si>
    <t>S120</t>
  </si>
  <si>
    <t>강원 영월군</t>
  </si>
  <si>
    <t>강원특별자치도 영월군</t>
  </si>
  <si>
    <t>35651</t>
  </si>
  <si>
    <t>영월 고추</t>
  </si>
  <si>
    <t>S121</t>
  </si>
  <si>
    <t>강원 정선군</t>
  </si>
  <si>
    <t>강원특별자치도 정선군</t>
  </si>
  <si>
    <t>35137</t>
  </si>
  <si>
    <t>정선 곤드레</t>
  </si>
  <si>
    <t>S122</t>
  </si>
  <si>
    <t>강원 인제군</t>
  </si>
  <si>
    <t>강원특별자치도 인제군</t>
  </si>
  <si>
    <t>30692</t>
  </si>
  <si>
    <t>인제 황태</t>
  </si>
  <si>
    <t>S123</t>
  </si>
  <si>
    <t>강원 양양군</t>
  </si>
  <si>
    <t>강원특별자치도 양양군</t>
  </si>
  <si>
    <t>27350</t>
  </si>
  <si>
    <t>양양 송이</t>
  </si>
  <si>
    <t>S124</t>
  </si>
  <si>
    <t>강원 화천군</t>
  </si>
  <si>
    <t>강원특별자치도 화천군</t>
  </si>
  <si>
    <t>22908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</si>
  <si>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화천댐</t>
    </r>
    <r>
      <rPr>
        <sz val="10"/>
        <rFont val="Arial"/>
        <family val="2"/>
      </rPr>
      <t>)</t>
    </r>
  </si>
  <si>
    <t>화천 산천어</t>
  </si>
  <si>
    <t>S125</t>
  </si>
  <si>
    <t>강원 양구군</t>
  </si>
  <si>
    <t>강원특별자치도 양구군</t>
  </si>
  <si>
    <t>20354</t>
  </si>
  <si>
    <t>양구 시래기</t>
  </si>
  <si>
    <t>N001</t>
  </si>
  <si>
    <t>강원 원산시</t>
  </si>
  <si>
    <t>북</t>
  </si>
  <si>
    <t>강원도 원산시</t>
  </si>
  <si>
    <t>363127</t>
  </si>
  <si>
    <r>
      <rPr>
        <sz val="10"/>
        <rFont val="Arial"/>
        <family val="2"/>
      </rPr>
      <t xml:space="preserve">2008 </t>
    </r>
    <r>
      <rPr>
        <sz val="10"/>
        <rFont val="Noto Sans CJK SC"/>
        <family val="2"/>
      </rPr>
      <t>센서스</t>
    </r>
    <r>
      <rPr>
        <sz val="10"/>
        <rFont val="Arial"/>
        <family val="2"/>
      </rPr>
      <t>×1.5</t>
    </r>
  </si>
  <si>
    <t>동북해</t>
  </si>
  <si>
    <t>원산 명태</t>
  </si>
  <si>
    <t>N002</t>
  </si>
  <si>
    <t>강원 문천시</t>
  </si>
  <si>
    <t>강원도 문천시</t>
  </si>
  <si>
    <t>122934</t>
  </si>
  <si>
    <t>문천 가자미</t>
  </si>
  <si>
    <r>
      <rPr>
        <sz val="10"/>
        <rFont val="Noto Sans CJK SC"/>
        <family val="2"/>
      </rPr>
      <t>특산물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지형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기후 기반 게임용 배정</t>
    </r>
  </si>
  <si>
    <t>N003</t>
  </si>
  <si>
    <t>강원 고산군</t>
  </si>
  <si>
    <t>강원도 고산군</t>
  </si>
  <si>
    <t>103579</t>
  </si>
  <si>
    <t>고산 사과</t>
  </si>
  <si>
    <t>N004</t>
  </si>
  <si>
    <t>강원 안변군</t>
  </si>
  <si>
    <t>강원도 안변군</t>
  </si>
  <si>
    <t>93960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</si>
  <si>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안변청년</t>
    </r>
    <r>
      <rPr>
        <sz val="10"/>
        <rFont val="Arial"/>
        <family val="2"/>
      </rPr>
      <t>)</t>
    </r>
  </si>
  <si>
    <t>안변 배</t>
  </si>
  <si>
    <t>N005</t>
  </si>
  <si>
    <t>강원 평강군</t>
  </si>
  <si>
    <t>강원도 평강군</t>
  </si>
  <si>
    <t>90425</t>
  </si>
  <si>
    <t>평강 감자</t>
  </si>
  <si>
    <t>N006</t>
  </si>
  <si>
    <t>강원 통천군</t>
  </si>
  <si>
    <t>강원도 통천군</t>
  </si>
  <si>
    <t>89357</t>
  </si>
  <si>
    <t>통천 해삼</t>
  </si>
  <si>
    <t>N007</t>
  </si>
  <si>
    <t>강원 천내군</t>
  </si>
  <si>
    <t>강원도 천내군</t>
  </si>
  <si>
    <t>85123</t>
  </si>
  <si>
    <t>N008</t>
  </si>
  <si>
    <t>강원 세포군</t>
  </si>
  <si>
    <t>강원도 세포군</t>
  </si>
  <si>
    <t>61113</t>
  </si>
  <si>
    <t>세포 소고기</t>
  </si>
  <si>
    <t>N009</t>
  </si>
  <si>
    <t>강원 이천군</t>
  </si>
  <si>
    <t>강원도 이천군</t>
  </si>
  <si>
    <t>57563</t>
  </si>
  <si>
    <t>N010</t>
  </si>
  <si>
    <t>강원 김화군</t>
  </si>
  <si>
    <t>강원도 김화군</t>
  </si>
  <si>
    <t>56541</t>
  </si>
  <si>
    <t>N011</t>
  </si>
  <si>
    <t>강원 금강군</t>
  </si>
  <si>
    <t>강원도 금강군</t>
  </si>
  <si>
    <t>54211</t>
  </si>
  <si>
    <t>금강산 송이</t>
  </si>
  <si>
    <t>N012</t>
  </si>
  <si>
    <t>강원 창도군</t>
  </si>
  <si>
    <t>강원도 창도군</t>
  </si>
  <si>
    <t>51319</t>
  </si>
  <si>
    <t>N013</t>
  </si>
  <si>
    <t>강원 판교군</t>
  </si>
  <si>
    <t>강원도 판교군</t>
  </si>
  <si>
    <t>47031</t>
  </si>
  <si>
    <t>N014</t>
  </si>
  <si>
    <t>강원 회양군</t>
  </si>
  <si>
    <t>강원도 회양군</t>
  </si>
  <si>
    <t>42485</t>
  </si>
  <si>
    <t>N015</t>
  </si>
  <si>
    <t>강원 법동군</t>
  </si>
  <si>
    <t>강원도 법동군</t>
  </si>
  <si>
    <t>35119</t>
  </si>
  <si>
    <t>S126</t>
  </si>
  <si>
    <t>충북 청주시</t>
  </si>
  <si>
    <t>충북</t>
  </si>
  <si>
    <t>충청북도 청주시</t>
  </si>
  <si>
    <t>860215</t>
  </si>
  <si>
    <t>S127</t>
  </si>
  <si>
    <t>충북 충주시</t>
  </si>
  <si>
    <t>충청북도 충주시</t>
  </si>
  <si>
    <t>205691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</si>
  <si>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충주댐</t>
    </r>
    <r>
      <rPr>
        <sz val="10"/>
        <rFont val="Arial"/>
        <family val="2"/>
      </rPr>
      <t>)</t>
    </r>
  </si>
  <si>
    <t>충주 사과</t>
  </si>
  <si>
    <t>S128</t>
  </si>
  <si>
    <t>충북 제천시</t>
  </si>
  <si>
    <t>충청북도 제천시</t>
  </si>
  <si>
    <t>127898</t>
  </si>
  <si>
    <t>제천 약초</t>
  </si>
  <si>
    <t>S129</t>
  </si>
  <si>
    <t>충북 음성군</t>
  </si>
  <si>
    <t>충청북도 음성군</t>
  </si>
  <si>
    <t>96114</t>
  </si>
  <si>
    <t>음성 고추</t>
  </si>
  <si>
    <t>S130</t>
  </si>
  <si>
    <t>충북 진천군</t>
  </si>
  <si>
    <t>충청북도 진천군</t>
  </si>
  <si>
    <t>85649</t>
  </si>
  <si>
    <t>생거진천 쌀</t>
  </si>
  <si>
    <t>S131</t>
  </si>
  <si>
    <t>충북 옥천군</t>
  </si>
  <si>
    <t>충청북도 옥천군</t>
  </si>
  <si>
    <t>50730</t>
  </si>
  <si>
    <t>옥천 포도</t>
  </si>
  <si>
    <t>S132</t>
  </si>
  <si>
    <t>충북 영동군</t>
  </si>
  <si>
    <t>충청북도 영동군</t>
  </si>
  <si>
    <t>43089</t>
  </si>
  <si>
    <t>영동 곶감</t>
  </si>
  <si>
    <t>S133</t>
  </si>
  <si>
    <t>충북 괴산군</t>
  </si>
  <si>
    <t>충청북도 괴산군</t>
  </si>
  <si>
    <t>37174</t>
  </si>
  <si>
    <t>괴산 대학찰옥수수</t>
  </si>
  <si>
    <t>S134</t>
  </si>
  <si>
    <t>충북 증평군</t>
  </si>
  <si>
    <t>충청북도 증평군</t>
  </si>
  <si>
    <t>36777</t>
  </si>
  <si>
    <t>S135</t>
  </si>
  <si>
    <t>충북 보은군</t>
  </si>
  <si>
    <t>충청북도 보은군</t>
  </si>
  <si>
    <t>31549</t>
  </si>
  <si>
    <t>보은 대추</t>
  </si>
  <si>
    <t>S136</t>
  </si>
  <si>
    <t>충북 단양군</t>
  </si>
  <si>
    <t>충청북도 단양군</t>
  </si>
  <si>
    <t>26481</t>
  </si>
  <si>
    <t>단양 마늘</t>
  </si>
  <si>
    <t>S137</t>
  </si>
  <si>
    <t>충남 천안시</t>
  </si>
  <si>
    <t>충남</t>
  </si>
  <si>
    <t>충청남도 천안시</t>
  </si>
  <si>
    <t>666584</t>
  </si>
  <si>
    <t>천안 호두</t>
  </si>
  <si>
    <t>S138</t>
  </si>
  <si>
    <t>충남 아산시</t>
  </si>
  <si>
    <t>충청남도 아산시</t>
  </si>
  <si>
    <t>365299</t>
  </si>
  <si>
    <t>S139</t>
  </si>
  <si>
    <t>충남 당진시</t>
  </si>
  <si>
    <t>충청남도 당진시</t>
  </si>
  <si>
    <t>172423</t>
  </si>
  <si>
    <r>
      <rPr>
        <sz val="10"/>
        <rFont val="Noto Sans CJK SC"/>
        <family val="2"/>
      </rPr>
      <t>당진화력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</si>
  <si>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해나루 쌀</t>
  </si>
  <si>
    <t>S140</t>
  </si>
  <si>
    <t>충남 서산시</t>
  </si>
  <si>
    <t>충청남도 서산시</t>
  </si>
  <si>
    <t>170780</t>
  </si>
  <si>
    <t>서산 육쪽마늘</t>
  </si>
  <si>
    <r>
      <rPr>
        <sz val="10"/>
        <rFont val="Arial"/>
        <family val="2"/>
      </rPr>
      <t>HD</t>
    </r>
    <r>
      <rPr>
        <sz val="10"/>
        <rFont val="Noto Sans CJK SC"/>
        <family val="2"/>
      </rPr>
      <t>현대오일뱅크 대산</t>
    </r>
  </si>
  <si>
    <t>S141</t>
  </si>
  <si>
    <t>충남 논산시</t>
  </si>
  <si>
    <t>충청남도 논산시</t>
  </si>
  <si>
    <t>105655</t>
  </si>
  <si>
    <t>논산 딸기</t>
  </si>
  <si>
    <t>S142</t>
  </si>
  <si>
    <t>충남 홍성군</t>
  </si>
  <si>
    <t>충청남도 홍성군</t>
  </si>
  <si>
    <t>101814</t>
  </si>
  <si>
    <t>광천 새우젓</t>
  </si>
  <si>
    <t>S143</t>
  </si>
  <si>
    <t>충남 공주시</t>
  </si>
  <si>
    <t>충청남도 공주시</t>
  </si>
  <si>
    <t>99481</t>
  </si>
  <si>
    <t>공주 밤</t>
  </si>
  <si>
    <t>S144</t>
  </si>
  <si>
    <t>충남 보령시</t>
  </si>
  <si>
    <t>충청남도 보령시</t>
  </si>
  <si>
    <t>91035</t>
  </si>
  <si>
    <r>
      <rPr>
        <sz val="10"/>
        <rFont val="Noto Sans CJK SC"/>
        <family val="2"/>
      </rPr>
      <t>보령화력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</si>
  <si>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대천 키조개</t>
  </si>
  <si>
    <t>S145</t>
  </si>
  <si>
    <t>충남 예산군</t>
  </si>
  <si>
    <t>충청남도 예산군</t>
  </si>
  <si>
    <t>78133</t>
  </si>
  <si>
    <t>예산 사과</t>
  </si>
  <si>
    <t>S146</t>
  </si>
  <si>
    <t>충남 태안군</t>
  </si>
  <si>
    <t>충청남도 태안군</t>
  </si>
  <si>
    <t>58858</t>
  </si>
  <si>
    <r>
      <rPr>
        <sz val="10"/>
        <rFont val="Noto Sans CJK SC"/>
        <family val="2"/>
      </rPr>
      <t>태안화력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</si>
  <si>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안면도 대하</t>
  </si>
  <si>
    <t>S147</t>
  </si>
  <si>
    <t>충남 부여군</t>
  </si>
  <si>
    <t>충청남도 부여군</t>
  </si>
  <si>
    <t>57591</t>
  </si>
  <si>
    <t>부여 수박</t>
  </si>
  <si>
    <t>S148</t>
  </si>
  <si>
    <t>충남 금산군</t>
  </si>
  <si>
    <t>충청남도 금산군</t>
  </si>
  <si>
    <t>48749</t>
  </si>
  <si>
    <t>금산 인삼</t>
  </si>
  <si>
    <t>S149</t>
  </si>
  <si>
    <t>충남 서천군</t>
  </si>
  <si>
    <t>충청남도 서천군</t>
  </si>
  <si>
    <t>46589</t>
  </si>
  <si>
    <r>
      <rPr>
        <sz val="10"/>
        <rFont val="Noto Sans CJK SC"/>
        <family val="2"/>
      </rPr>
      <t>신서천화력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</si>
  <si>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서천 김</t>
  </si>
  <si>
    <t>S150</t>
  </si>
  <si>
    <t>충남 계룡시</t>
  </si>
  <si>
    <t>충청남도 계룡시</t>
  </si>
  <si>
    <t>45937</t>
  </si>
  <si>
    <t>S151</t>
  </si>
  <si>
    <t>충남 청양군</t>
  </si>
  <si>
    <t>충청남도 청양군</t>
  </si>
  <si>
    <t>30010</t>
  </si>
  <si>
    <t>청양 고추</t>
  </si>
  <si>
    <t>S152</t>
  </si>
  <si>
    <t>전북 전주시</t>
  </si>
  <si>
    <t>전북</t>
  </si>
  <si>
    <t>전북특별자치도 전주시</t>
  </si>
  <si>
    <t>618908</t>
  </si>
  <si>
    <t>S153</t>
  </si>
  <si>
    <t>전북 익산시</t>
  </si>
  <si>
    <t>전북특별자치도 익산시</t>
  </si>
  <si>
    <t>266639</t>
  </si>
  <si>
    <t>익산 서동마</t>
  </si>
  <si>
    <t>S154</t>
  </si>
  <si>
    <t>전북 군산시</t>
  </si>
  <si>
    <t>전북특별자치도 군산시</t>
  </si>
  <si>
    <t>255517</t>
  </si>
  <si>
    <t>군산 박대</t>
  </si>
  <si>
    <t>S155</t>
  </si>
  <si>
    <t>전북 완주군</t>
  </si>
  <si>
    <t>전북특별자치도 완주군</t>
  </si>
  <si>
    <t>100642</t>
  </si>
  <si>
    <t>봉동 생강</t>
  </si>
  <si>
    <t>S156</t>
  </si>
  <si>
    <t>전북 정읍시</t>
  </si>
  <si>
    <t>전북특별자치도 정읍시</t>
  </si>
  <si>
    <t>100580</t>
  </si>
  <si>
    <t>S157</t>
  </si>
  <si>
    <t>전북 김제시</t>
  </si>
  <si>
    <t>전북특별자치도 김제시</t>
  </si>
  <si>
    <t>81585</t>
  </si>
  <si>
    <t>김제 지평선쌀</t>
  </si>
  <si>
    <t>S158</t>
  </si>
  <si>
    <t>전북 남원시</t>
  </si>
  <si>
    <t>전북특별자치도 남원시</t>
  </si>
  <si>
    <t>73604</t>
  </si>
  <si>
    <t>남원 추어</t>
  </si>
  <si>
    <t>S159</t>
  </si>
  <si>
    <t>전북 고창군</t>
  </si>
  <si>
    <t>전북특별자치도 고창군</t>
  </si>
  <si>
    <t>50025</t>
  </si>
  <si>
    <t>고창 복분자</t>
  </si>
  <si>
    <t>S160</t>
  </si>
  <si>
    <t>전북 부안군</t>
  </si>
  <si>
    <t>전북특별자치도 부안군</t>
  </si>
  <si>
    <t>46952</t>
  </si>
  <si>
    <t>곰소 젓갈</t>
  </si>
  <si>
    <t>S161</t>
  </si>
  <si>
    <t>전북 순창군</t>
  </si>
  <si>
    <t>전북특별자치도 순창군</t>
  </si>
  <si>
    <t>27654</t>
  </si>
  <si>
    <t>순창 고추</t>
  </si>
  <si>
    <t>S162</t>
  </si>
  <si>
    <t>전북 임실군</t>
  </si>
  <si>
    <t>전북특별자치도 임실군</t>
  </si>
  <si>
    <t>25290</t>
  </si>
  <si>
    <t>임실 치즈</t>
  </si>
  <si>
    <t>S163</t>
  </si>
  <si>
    <t>전북 진안군</t>
  </si>
  <si>
    <t>전북특별자치도 진안군</t>
  </si>
  <si>
    <t>24930</t>
  </si>
  <si>
    <t>진안 홍삼</t>
  </si>
  <si>
    <t>S164</t>
  </si>
  <si>
    <t>전북 무주군</t>
  </si>
  <si>
    <t>전북특별자치도 무주군</t>
  </si>
  <si>
    <t>23455</t>
  </si>
  <si>
    <t>무주 머루</t>
  </si>
  <si>
    <t>S165</t>
  </si>
  <si>
    <t>전북 장수군</t>
  </si>
  <si>
    <t>전북특별자치도 장수군</t>
  </si>
  <si>
    <t>21184</t>
  </si>
  <si>
    <t>장수 사과</t>
  </si>
  <si>
    <t>S166</t>
  </si>
  <si>
    <t>전남 순천시</t>
  </si>
  <si>
    <t>전남</t>
  </si>
  <si>
    <t>전남광주통합특별시 순천시</t>
  </si>
  <si>
    <t>273399</t>
  </si>
  <si>
    <t>남서해</t>
  </si>
  <si>
    <t>순천만 짱뚱어</t>
  </si>
  <si>
    <t>S167</t>
  </si>
  <si>
    <t>전남 여수시</t>
  </si>
  <si>
    <t>전남광주통합특별시 여수시</t>
  </si>
  <si>
    <t>259857</t>
  </si>
  <si>
    <r>
      <rPr>
        <sz val="10"/>
        <rFont val="Noto Sans CJK SC"/>
        <family val="2"/>
      </rPr>
      <t>여수화력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</si>
  <si>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돌산 갓</t>
  </si>
  <si>
    <r>
      <rPr>
        <sz val="10"/>
        <rFont val="Arial"/>
        <family val="2"/>
      </rPr>
      <t>GS</t>
    </r>
    <r>
      <rPr>
        <sz val="10"/>
        <rFont val="Noto Sans CJK SC"/>
        <family val="2"/>
      </rPr>
      <t>칼텍스 여수</t>
    </r>
  </si>
  <si>
    <t>S168</t>
  </si>
  <si>
    <t>전남 목포시</t>
  </si>
  <si>
    <t>전남광주통합특별시 목포시</t>
  </si>
  <si>
    <t>198981</t>
  </si>
  <si>
    <t>목포 세발낙지</t>
  </si>
  <si>
    <t>S169</t>
  </si>
  <si>
    <t>전남 광양시</t>
  </si>
  <si>
    <t>전남광주통합특별시 광양시</t>
  </si>
  <si>
    <t>156052</t>
  </si>
  <si>
    <t>광양 매실</t>
  </si>
  <si>
    <t>S170</t>
  </si>
  <si>
    <t>전남 나주시</t>
  </si>
  <si>
    <t>전남광주통합특별시 나주시</t>
  </si>
  <si>
    <t>116667</t>
  </si>
  <si>
    <t>나주 배</t>
  </si>
  <si>
    <t>S171</t>
  </si>
  <si>
    <t>전남 무안군</t>
  </si>
  <si>
    <t>전남광주통합특별시 무안군</t>
  </si>
  <si>
    <t>95537</t>
  </si>
  <si>
    <t>무안 양파</t>
  </si>
  <si>
    <t>S172</t>
  </si>
  <si>
    <t>전남 해남군</t>
  </si>
  <si>
    <t>전남광주통합특별시 해남군</t>
  </si>
  <si>
    <t>61883</t>
  </si>
  <si>
    <r>
      <rPr>
        <sz val="10"/>
        <rFont val="Noto Sans CJK SC"/>
        <family val="2"/>
      </rPr>
      <t>서남해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남서해</t>
    </r>
  </si>
  <si>
    <t>해남 배추</t>
  </si>
  <si>
    <t>S173</t>
  </si>
  <si>
    <t>전남 화순군</t>
  </si>
  <si>
    <t>전남광주통합특별시 화순군</t>
  </si>
  <si>
    <t>59860</t>
  </si>
  <si>
    <t>S174</t>
  </si>
  <si>
    <t>전남 고흥군</t>
  </si>
  <si>
    <t>전남광주통합특별시 고흥군</t>
  </si>
  <si>
    <t>59011</t>
  </si>
  <si>
    <t>고흥 유자</t>
  </si>
  <si>
    <t>S175</t>
  </si>
  <si>
    <t>전남 영광군</t>
  </si>
  <si>
    <t>전남광주통합특별시 영광군</t>
  </si>
  <si>
    <t>53719</t>
  </si>
  <si>
    <r>
      <rPr>
        <sz val="10"/>
        <rFont val="Noto Sans CJK SC"/>
        <family val="2"/>
      </rPr>
      <t>원자력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한빛</t>
    </r>
    <r>
      <rPr>
        <sz val="10"/>
        <rFont val="Arial"/>
        <family val="2"/>
      </rPr>
      <t>)</t>
    </r>
  </si>
  <si>
    <t>영광 굴비</t>
  </si>
  <si>
    <t>S176</t>
  </si>
  <si>
    <t>전남 영암군</t>
  </si>
  <si>
    <t>전남광주통합특별시 영암군</t>
  </si>
  <si>
    <t>49984</t>
  </si>
  <si>
    <t>영암 무화과</t>
  </si>
  <si>
    <t>S177</t>
  </si>
  <si>
    <t>전남 완도군</t>
  </si>
  <si>
    <t>전남광주통합특별시 완도군</t>
  </si>
  <si>
    <t>44071</t>
  </si>
  <si>
    <t>완도 전복</t>
  </si>
  <si>
    <t>S178</t>
  </si>
  <si>
    <t>전남 담양군</t>
  </si>
  <si>
    <t>전남광주통합특별시 담양군</t>
  </si>
  <si>
    <t>43880</t>
  </si>
  <si>
    <t>담양 죽순</t>
  </si>
  <si>
    <t>S179</t>
  </si>
  <si>
    <t>전남 장성군</t>
  </si>
  <si>
    <t>전남광주통합특별시 장성군</t>
  </si>
  <si>
    <t>43079</t>
  </si>
  <si>
    <t>장성 사과</t>
  </si>
  <si>
    <t>S180</t>
  </si>
  <si>
    <t>전남 신안군</t>
  </si>
  <si>
    <t>전남광주통합특별시 신안군</t>
  </si>
  <si>
    <t>42384</t>
  </si>
  <si>
    <t>신안 천일염</t>
  </si>
  <si>
    <t>S181</t>
  </si>
  <si>
    <t>전남 보성군</t>
  </si>
  <si>
    <t>전남광주통합특별시 보성군</t>
  </si>
  <si>
    <t>38162</t>
  </si>
  <si>
    <t>보성 녹차</t>
  </si>
  <si>
    <t>S182</t>
  </si>
  <si>
    <t>전남 장흥군</t>
  </si>
  <si>
    <t>전남광주통합특별시 장흥군</t>
  </si>
  <si>
    <t>33877</t>
  </si>
  <si>
    <t>장흥 표고</t>
  </si>
  <si>
    <t>S183</t>
  </si>
  <si>
    <t>전남 강진군</t>
  </si>
  <si>
    <t>전남광주통합특별시 강진군</t>
  </si>
  <si>
    <t>31603</t>
  </si>
  <si>
    <t>S184</t>
  </si>
  <si>
    <t>전남 함평군</t>
  </si>
  <si>
    <t>전남광주통합특별시 함평군</t>
  </si>
  <si>
    <t>29753</t>
  </si>
  <si>
    <t>함평 한우</t>
  </si>
  <si>
    <t>S185</t>
  </si>
  <si>
    <t>전남 진도군</t>
  </si>
  <si>
    <t>전남광주통합특별시 진도군</t>
  </si>
  <si>
    <t>27773</t>
  </si>
  <si>
    <t>진도 대파</t>
  </si>
  <si>
    <t>S186</t>
  </si>
  <si>
    <t>전남 곡성군</t>
  </si>
  <si>
    <t>전남광주통합특별시 곡성군</t>
  </si>
  <si>
    <t>27686</t>
  </si>
  <si>
    <t>곡성 멜론</t>
  </si>
  <si>
    <t>S187</t>
  </si>
  <si>
    <t>전남 구례군</t>
  </si>
  <si>
    <t>전남광주통합특별시 구례군</t>
  </si>
  <si>
    <t>24627</t>
  </si>
  <si>
    <t>구례 산수유</t>
  </si>
  <si>
    <t>S188</t>
  </si>
  <si>
    <t>경북 포항시</t>
  </si>
  <si>
    <t>경북</t>
  </si>
  <si>
    <t>경상북도 포항시</t>
  </si>
  <si>
    <t>486930</t>
  </si>
  <si>
    <t>구룡포 과메기</t>
  </si>
  <si>
    <t>S189</t>
  </si>
  <si>
    <t>경북 구미시</t>
  </si>
  <si>
    <t>경상북도 구미시</t>
  </si>
  <si>
    <t>402596</t>
  </si>
  <si>
    <t>S190</t>
  </si>
  <si>
    <t>경북 경산시</t>
  </si>
  <si>
    <t>경상북도 경산시</t>
  </si>
  <si>
    <t>263020</t>
  </si>
  <si>
    <t>경산 대추</t>
  </si>
  <si>
    <t>S191</t>
  </si>
  <si>
    <t>경북 경주시</t>
  </si>
  <si>
    <t>경상북도 경주시</t>
  </si>
  <si>
    <t>242512</t>
  </si>
  <si>
    <r>
      <rPr>
        <sz val="10"/>
        <rFont val="Noto Sans CJK SC"/>
        <family val="2"/>
      </rPr>
      <t>원자력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월성</t>
    </r>
    <r>
      <rPr>
        <sz val="10"/>
        <rFont val="Arial"/>
        <family val="2"/>
      </rPr>
      <t>)</t>
    </r>
  </si>
  <si>
    <t>경주 한우</t>
  </si>
  <si>
    <t>S192</t>
  </si>
  <si>
    <t>경북 안동시</t>
  </si>
  <si>
    <t>경상북도 안동시</t>
  </si>
  <si>
    <t>151343</t>
  </si>
  <si>
    <t>안동 간고등어</t>
  </si>
  <si>
    <t>S193</t>
  </si>
  <si>
    <t>경북 김천시</t>
  </si>
  <si>
    <t>경상북도 김천시</t>
  </si>
  <si>
    <t>132433</t>
  </si>
  <si>
    <t>김천 자두</t>
  </si>
  <si>
    <t>S194</t>
  </si>
  <si>
    <t>경북 칠곡군</t>
  </si>
  <si>
    <t>경상북도 칠곡군</t>
  </si>
  <si>
    <t>103426</t>
  </si>
  <si>
    <t>S195</t>
  </si>
  <si>
    <t>경북 영주시</t>
  </si>
  <si>
    <t>경상북도 영주시</t>
  </si>
  <si>
    <t>96237</t>
  </si>
  <si>
    <t>풍기 인삼</t>
  </si>
  <si>
    <t>S196</t>
  </si>
  <si>
    <t>경북 영천시</t>
  </si>
  <si>
    <t>경상북도 영천시</t>
  </si>
  <si>
    <t>93605</t>
  </si>
  <si>
    <t>영천 포도</t>
  </si>
  <si>
    <t>S197</t>
  </si>
  <si>
    <t>경북 상주시</t>
  </si>
  <si>
    <t>경상북도 상주시</t>
  </si>
  <si>
    <t>88920</t>
  </si>
  <si>
    <t>상주 곶감</t>
  </si>
  <si>
    <t>S198</t>
  </si>
  <si>
    <t>경북 문경시</t>
  </si>
  <si>
    <t>경상북도 문경시</t>
  </si>
  <si>
    <t>64657</t>
  </si>
  <si>
    <t>문경 오미자</t>
  </si>
  <si>
    <t>S199</t>
  </si>
  <si>
    <t>경북 예천군</t>
  </si>
  <si>
    <t>경상북도 예천군</t>
  </si>
  <si>
    <t>53275</t>
  </si>
  <si>
    <t>S200</t>
  </si>
  <si>
    <t>경북 의성군</t>
  </si>
  <si>
    <t>경상북도 의성군</t>
  </si>
  <si>
    <t>47879</t>
  </si>
  <si>
    <t>의성 마늘</t>
  </si>
  <si>
    <t>S201</t>
  </si>
  <si>
    <t>경북 울진군</t>
  </si>
  <si>
    <t>경상북도 울진군</t>
  </si>
  <si>
    <t>46319</t>
  </si>
  <si>
    <r>
      <rPr>
        <sz val="10"/>
        <rFont val="Noto Sans CJK SC"/>
        <family val="2"/>
      </rPr>
      <t>원자력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한울</t>
    </r>
    <r>
      <rPr>
        <sz val="10"/>
        <rFont val="Arial"/>
        <family val="2"/>
      </rPr>
      <t>)</t>
    </r>
  </si>
  <si>
    <t>울진 대게</t>
  </si>
  <si>
    <t>S202</t>
  </si>
  <si>
    <t>경북 성주군</t>
  </si>
  <si>
    <t>경상북도 성주군</t>
  </si>
  <si>
    <t>40293</t>
  </si>
  <si>
    <t>성주 참외</t>
  </si>
  <si>
    <t>S203</t>
  </si>
  <si>
    <t>경북 청도군</t>
  </si>
  <si>
    <t>경상북도 청도군</t>
  </si>
  <si>
    <t>39988</t>
  </si>
  <si>
    <t>청도 반시</t>
  </si>
  <si>
    <t>S204</t>
  </si>
  <si>
    <t>경북 영덕군</t>
  </si>
  <si>
    <t>경상북도 영덕군</t>
  </si>
  <si>
    <t>32511</t>
  </si>
  <si>
    <t>영덕 대게</t>
  </si>
  <si>
    <t>S205</t>
  </si>
  <si>
    <t>경북 고령군</t>
  </si>
  <si>
    <t>경상북도 고령군</t>
  </si>
  <si>
    <t>29429</t>
  </si>
  <si>
    <t>고령 딸기</t>
  </si>
  <si>
    <t>S206</t>
  </si>
  <si>
    <t>경북 봉화군</t>
  </si>
  <si>
    <t>경상북도 봉화군</t>
  </si>
  <si>
    <t>28041</t>
  </si>
  <si>
    <t>봉화 송이</t>
  </si>
  <si>
    <t>S207</t>
  </si>
  <si>
    <t>경북 청송군</t>
  </si>
  <si>
    <t>경상북도 청송군</t>
  </si>
  <si>
    <t>24560</t>
  </si>
  <si>
    <t>청송 사과</t>
  </si>
  <si>
    <t>S208</t>
  </si>
  <si>
    <t>경북 영양군</t>
  </si>
  <si>
    <t>경상북도 영양군</t>
  </si>
  <si>
    <t>15956</t>
  </si>
  <si>
    <t>영양 고추</t>
  </si>
  <si>
    <t>S209</t>
  </si>
  <si>
    <t>경북 울릉군</t>
  </si>
  <si>
    <t>경상북도 울릉군</t>
  </si>
  <si>
    <t>8747</t>
  </si>
  <si>
    <t>무연륙 섬</t>
  </si>
  <si>
    <t>울릉 오징어</t>
  </si>
  <si>
    <t>S210</t>
  </si>
  <si>
    <t>경남 창원시</t>
  </si>
  <si>
    <t>경남</t>
  </si>
  <si>
    <t>경상남도 창원시</t>
  </si>
  <si>
    <t>985013</t>
  </si>
  <si>
    <t>창원 단감</t>
  </si>
  <si>
    <t>S211</t>
  </si>
  <si>
    <t>경남 김해시</t>
  </si>
  <si>
    <t>경상남도 김해시</t>
  </si>
  <si>
    <t>532854</t>
  </si>
  <si>
    <t>S212</t>
  </si>
  <si>
    <t>경남 양산시</t>
  </si>
  <si>
    <t>경상남도 양산시</t>
  </si>
  <si>
    <t>361044</t>
  </si>
  <si>
    <t>S213</t>
  </si>
  <si>
    <t>경남 진주시</t>
  </si>
  <si>
    <t>경상남도 진주시</t>
  </si>
  <si>
    <t>334017</t>
  </si>
  <si>
    <t>진주 딸기</t>
  </si>
  <si>
    <t>S214</t>
  </si>
  <si>
    <t>경남 거제시</t>
  </si>
  <si>
    <t>경상남도 거제시</t>
  </si>
  <si>
    <t>228774</t>
  </si>
  <si>
    <t>거제 대구</t>
  </si>
  <si>
    <t>S215</t>
  </si>
  <si>
    <t>경남 통영시</t>
  </si>
  <si>
    <t>경상남도 통영시</t>
  </si>
  <si>
    <t>115975</t>
  </si>
  <si>
    <t>통영 굴</t>
  </si>
  <si>
    <t>S216</t>
  </si>
  <si>
    <t>경남 사천시</t>
  </si>
  <si>
    <t>경상남도 사천시</t>
  </si>
  <si>
    <t>107796</t>
  </si>
  <si>
    <t>삼천포 쥐포</t>
  </si>
  <si>
    <t>S217</t>
  </si>
  <si>
    <t>경남 밀양시</t>
  </si>
  <si>
    <t>경상남도 밀양시</t>
  </si>
  <si>
    <t>98305</t>
  </si>
  <si>
    <t>얼음골 사과</t>
  </si>
  <si>
    <t>S218</t>
  </si>
  <si>
    <t>경남 거창군</t>
  </si>
  <si>
    <t>경상남도 거창군</t>
  </si>
  <si>
    <t>58737</t>
  </si>
  <si>
    <t>거창 사과</t>
  </si>
  <si>
    <t>S219</t>
  </si>
  <si>
    <t>경남 함안군</t>
  </si>
  <si>
    <t>경상남도 함안군</t>
  </si>
  <si>
    <t>56655</t>
  </si>
  <si>
    <t>함안 수박</t>
  </si>
  <si>
    <t>S220</t>
  </si>
  <si>
    <t>경남 창녕군</t>
  </si>
  <si>
    <t>경상남도 창녕군</t>
  </si>
  <si>
    <t>54173</t>
  </si>
  <si>
    <t>창녕 양파</t>
  </si>
  <si>
    <t>S221</t>
  </si>
  <si>
    <t>경남 고성군</t>
  </si>
  <si>
    <t>경상남도 고성군</t>
  </si>
  <si>
    <t>46712</t>
  </si>
  <si>
    <r>
      <rPr>
        <sz val="10"/>
        <rFont val="Noto Sans CJK SC"/>
        <family val="2"/>
      </rPr>
      <t>삼천포화력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</si>
  <si>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S222</t>
  </si>
  <si>
    <t>경남 남해군</t>
  </si>
  <si>
    <t>경상남도 남해군</t>
  </si>
  <si>
    <t>41073</t>
  </si>
  <si>
    <t>죽방 멸치</t>
  </si>
  <si>
    <t>S223</t>
  </si>
  <si>
    <t>경남 하동군</t>
  </si>
  <si>
    <t>경상남도 하동군</t>
  </si>
  <si>
    <t>39565</t>
  </si>
  <si>
    <r>
      <rPr>
        <sz val="10"/>
        <rFont val="Noto Sans CJK SC"/>
        <family val="2"/>
      </rPr>
      <t>남동해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남서해</t>
    </r>
  </si>
  <si>
    <r>
      <rPr>
        <sz val="10"/>
        <rFont val="Noto Sans CJK SC"/>
        <family val="2"/>
      </rPr>
      <t>하동화력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</si>
  <si>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하동 재첩</t>
  </si>
  <si>
    <t>S224</t>
  </si>
  <si>
    <t>경남 합천군</t>
  </si>
  <si>
    <t>경상남도 합천군</t>
  </si>
  <si>
    <t>38732</t>
  </si>
  <si>
    <t>S225</t>
  </si>
  <si>
    <t>경남 함양군</t>
  </si>
  <si>
    <t>경상남도 함양군</t>
  </si>
  <si>
    <t>35074</t>
  </si>
  <si>
    <t>함양 산양삼</t>
  </si>
  <si>
    <t>S226</t>
  </si>
  <si>
    <t>경남 산청군</t>
  </si>
  <si>
    <t>경상남도 산청군</t>
  </si>
  <si>
    <t>32628</t>
  </si>
  <si>
    <t>산청 약초</t>
  </si>
  <si>
    <t>S227</t>
  </si>
  <si>
    <t>경남 의령군</t>
  </si>
  <si>
    <t>경상남도 의령군</t>
  </si>
  <si>
    <t>24518</t>
  </si>
  <si>
    <t>S228</t>
  </si>
  <si>
    <t>제주 제주시</t>
  </si>
  <si>
    <t>제주</t>
  </si>
  <si>
    <t>제주특별자치도 제주시</t>
  </si>
  <si>
    <t>484149</t>
  </si>
  <si>
    <r>
      <rPr>
        <sz val="10"/>
        <rFont val="Noto Sans CJK SC"/>
        <family val="2"/>
      </rPr>
      <t>남서해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남동해</t>
    </r>
  </si>
  <si>
    <t>제주 흑돼지</t>
  </si>
  <si>
    <t>S229</t>
  </si>
  <si>
    <t>제주 서귀포시</t>
  </si>
  <si>
    <t>제주특별자치도 서귀포시</t>
  </si>
  <si>
    <t>178532</t>
  </si>
  <si>
    <t>서귀포 감귤</t>
  </si>
  <si>
    <t>N016</t>
  </si>
  <si>
    <t>평양 만경대구역</t>
  </si>
  <si>
    <t>평양</t>
  </si>
  <si>
    <t>평양직할시 만경대구역</t>
  </si>
  <si>
    <t>평안</t>
  </si>
  <si>
    <t>321690</t>
  </si>
  <si>
    <t>N017</t>
  </si>
  <si>
    <t>평양 락랑구역</t>
  </si>
  <si>
    <t>평양직할시 락랑구역</t>
  </si>
  <si>
    <t>282681</t>
  </si>
  <si>
    <t>N018</t>
  </si>
  <si>
    <t>평양 강동군</t>
  </si>
  <si>
    <t>평양직할시 강동군</t>
  </si>
  <si>
    <t>221539</t>
  </si>
  <si>
    <t>N019</t>
  </si>
  <si>
    <t>평양 대동강구역</t>
  </si>
  <si>
    <t>평양직할시 대동강구역</t>
  </si>
  <si>
    <t>207081</t>
  </si>
  <si>
    <t>대동강 숭어</t>
  </si>
  <si>
    <t>N020</t>
  </si>
  <si>
    <t>평양 룡성구역</t>
  </si>
  <si>
    <t>평양직할시 룡성구역</t>
  </si>
  <si>
    <t>195891</t>
  </si>
  <si>
    <t>N021</t>
  </si>
  <si>
    <t>평양 평천구역</t>
  </si>
  <si>
    <t>평양직할시 평천구역</t>
  </si>
  <si>
    <t>181142</t>
  </si>
  <si>
    <r>
      <rPr>
        <sz val="10"/>
        <rFont val="Noto Sans CJK SC"/>
        <family val="2"/>
      </rPr>
      <t>평양화력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</si>
  <si>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N022</t>
  </si>
  <si>
    <t>평양 형제산구역</t>
  </si>
  <si>
    <t>평양직할시 형제산구역</t>
  </si>
  <si>
    <t>160032</t>
  </si>
  <si>
    <t>N023</t>
  </si>
  <si>
    <t>평양 선교구역</t>
  </si>
  <si>
    <t>평양직할시 선교구역</t>
  </si>
  <si>
    <t>148209</t>
  </si>
  <si>
    <t>N024</t>
  </si>
  <si>
    <t>평양 서성구역</t>
  </si>
  <si>
    <t>평양직할시 서성구역</t>
  </si>
  <si>
    <t>147138</t>
  </si>
  <si>
    <t>N025</t>
  </si>
  <si>
    <t>평양 동대원구역</t>
  </si>
  <si>
    <t>평양직할시 동대원구역</t>
  </si>
  <si>
    <t>143561</t>
  </si>
  <si>
    <r>
      <rPr>
        <sz val="10"/>
        <rFont val="Noto Sans CJK SC"/>
        <family val="2"/>
      </rPr>
      <t>동평양화력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</si>
  <si>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N026</t>
  </si>
  <si>
    <t>평양 모란봉구역</t>
  </si>
  <si>
    <t>평양직할시 모란봉구역</t>
  </si>
  <si>
    <t>143404</t>
  </si>
  <si>
    <t>N027</t>
  </si>
  <si>
    <t>평양 사동구역</t>
  </si>
  <si>
    <t>평양직할시 사동구역</t>
  </si>
  <si>
    <t>140869</t>
  </si>
  <si>
    <t>N028</t>
  </si>
  <si>
    <t>평양 중구역</t>
  </si>
  <si>
    <t>평양직할시 중구역</t>
  </si>
  <si>
    <t>131333</t>
  </si>
  <si>
    <t>옥류관 냉면</t>
  </si>
  <si>
    <t>N029</t>
  </si>
  <si>
    <t>평양 대성구역</t>
  </si>
  <si>
    <t>평양직할시 대성구역</t>
  </si>
  <si>
    <t>115739</t>
  </si>
  <si>
    <t>N030</t>
  </si>
  <si>
    <t>평양 보통강구역</t>
  </si>
  <si>
    <t>평양직할시 보통강구역</t>
  </si>
  <si>
    <t>105180</t>
  </si>
  <si>
    <t>N031</t>
  </si>
  <si>
    <t>평양 순안구역</t>
  </si>
  <si>
    <t>평양직할시 순안구역</t>
  </si>
  <si>
    <t>91791</t>
  </si>
  <si>
    <t>N032</t>
  </si>
  <si>
    <t>평양 력포구역</t>
  </si>
  <si>
    <t>평양직할시 력포구역</t>
  </si>
  <si>
    <t>82548</t>
  </si>
  <si>
    <t>N033</t>
  </si>
  <si>
    <t>평양 강남군</t>
  </si>
  <si>
    <t>평양직할시 강남군</t>
  </si>
  <si>
    <t>69279</t>
  </si>
  <si>
    <t>강남 채소</t>
  </si>
  <si>
    <t>N034</t>
  </si>
  <si>
    <t>평양 삼석구역</t>
  </si>
  <si>
    <t>평양직할시 삼석구역</t>
  </si>
  <si>
    <t>62790</t>
  </si>
  <si>
    <t>N035</t>
  </si>
  <si>
    <t>평양 은정구역</t>
  </si>
  <si>
    <t>평양직할시 은정구역</t>
  </si>
  <si>
    <t>47569</t>
  </si>
  <si>
    <t>N036</t>
  </si>
  <si>
    <t>남포 항구구역</t>
  </si>
  <si>
    <t>남포</t>
  </si>
  <si>
    <t>남포특별시 항구구역</t>
  </si>
  <si>
    <t>366815</t>
  </si>
  <si>
    <t>서북해</t>
  </si>
  <si>
    <t>N037</t>
  </si>
  <si>
    <t>남포 강서구역</t>
  </si>
  <si>
    <t>남포특별시 강서구역</t>
  </si>
  <si>
    <t>191356</t>
  </si>
  <si>
    <t>강서 약수</t>
  </si>
  <si>
    <t>N038</t>
  </si>
  <si>
    <t>남포 온천군</t>
  </si>
  <si>
    <t>남포특별시 온천군</t>
  </si>
  <si>
    <t>149851</t>
  </si>
  <si>
    <t>온천 조개</t>
  </si>
  <si>
    <t>N039</t>
  </si>
  <si>
    <t>남포 천리마구역</t>
  </si>
  <si>
    <t>남포특별시 천리마구역</t>
  </si>
  <si>
    <t>139489</t>
  </si>
  <si>
    <t>N040</t>
  </si>
  <si>
    <t>남포 대안구역</t>
  </si>
  <si>
    <t>남포특별시 대안구역</t>
  </si>
  <si>
    <t>77219</t>
  </si>
  <si>
    <t>N041</t>
  </si>
  <si>
    <t>남포 룡강군</t>
  </si>
  <si>
    <t>남포특별시 룡강군</t>
  </si>
  <si>
    <t>58930</t>
  </si>
  <si>
    <t>N042</t>
  </si>
  <si>
    <t>라선 라진구역</t>
  </si>
  <si>
    <t>라선</t>
  </si>
  <si>
    <t>라선특별시 라진구역</t>
  </si>
  <si>
    <t>함경</t>
  </si>
  <si>
    <t>118172</t>
  </si>
  <si>
    <r>
      <rPr>
        <sz val="10"/>
        <rFont val="Arial"/>
        <family val="2"/>
      </rPr>
      <t xml:space="preserve">2008 </t>
    </r>
    <r>
      <rPr>
        <sz val="10"/>
        <rFont val="Noto Sans CJK SC"/>
        <family val="2"/>
      </rPr>
      <t>센서스</t>
    </r>
    <r>
      <rPr>
        <sz val="10"/>
        <rFont val="Arial"/>
        <family val="2"/>
      </rPr>
      <t>×1.5 (</t>
    </r>
    <r>
      <rPr>
        <sz val="10"/>
        <rFont val="Noto Sans CJK SC"/>
        <family val="2"/>
      </rPr>
      <t>라선 분할 추정</t>
    </r>
    <r>
      <rPr>
        <sz val="10"/>
        <rFont val="Arial"/>
        <family val="2"/>
      </rPr>
      <t>)</t>
    </r>
  </si>
  <si>
    <t>라진 해삼</t>
  </si>
  <si>
    <t>N043</t>
  </si>
  <si>
    <t>라선 선봉구역</t>
  </si>
  <si>
    <t>라선특별시 선봉구역</t>
  </si>
  <si>
    <t>78782</t>
  </si>
  <si>
    <r>
      <rPr>
        <sz val="10"/>
        <rFont val="Noto Sans CJK SC"/>
        <family val="2"/>
      </rPr>
      <t>선봉화력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</si>
  <si>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선봉 가자미</t>
  </si>
  <si>
    <r>
      <rPr>
        <sz val="10"/>
        <rFont val="Noto Sans CJK SC"/>
        <family val="2"/>
      </rPr>
      <t>승리화학공장 특산물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지형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기후 기반 게임용 배정</t>
    </r>
  </si>
  <si>
    <t>N044</t>
  </si>
  <si>
    <t>평북 신의주시</t>
  </si>
  <si>
    <t>평북</t>
  </si>
  <si>
    <t>평안북도 신의주시</t>
  </si>
  <si>
    <t>359341</t>
  </si>
  <si>
    <t>N045</t>
  </si>
  <si>
    <t>평북 구성시</t>
  </si>
  <si>
    <t>평안북도 구성시</t>
  </si>
  <si>
    <t>196515</t>
  </si>
  <si>
    <t>N046</t>
  </si>
  <si>
    <t>평북 정주시</t>
  </si>
  <si>
    <t>평안북도 정주시</t>
  </si>
  <si>
    <t>189742</t>
  </si>
  <si>
    <t>N047</t>
  </si>
  <si>
    <t>평북 삭주군</t>
  </si>
  <si>
    <t>평안북도 삭주군</t>
  </si>
  <si>
    <t>159707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</si>
  <si>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수풍</t>
    </r>
    <r>
      <rPr>
        <sz val="10"/>
        <rFont val="Arial"/>
        <family val="2"/>
      </rPr>
      <t>)</t>
    </r>
  </si>
  <si>
    <t>삭주 옥수수</t>
  </si>
  <si>
    <t>N048</t>
  </si>
  <si>
    <t>평북 구장군</t>
  </si>
  <si>
    <t>평안북도 구장군</t>
  </si>
  <si>
    <t>139337</t>
  </si>
  <si>
    <t>N049</t>
  </si>
  <si>
    <t>평북 룡천군</t>
  </si>
  <si>
    <t>평안북도 룡천군</t>
  </si>
  <si>
    <t>135634</t>
  </si>
  <si>
    <t>룡천 쌀</t>
  </si>
  <si>
    <t>N050</t>
  </si>
  <si>
    <t>평북 선천군</t>
  </si>
  <si>
    <t>평안북도 선천군</t>
  </si>
  <si>
    <t>126350</t>
  </si>
  <si>
    <t>선천 굴</t>
  </si>
  <si>
    <t>N051</t>
  </si>
  <si>
    <t>평북 녕변군</t>
  </si>
  <si>
    <t>평안북도 녕변군</t>
  </si>
  <si>
    <t>113852</t>
  </si>
  <si>
    <t>녕변 밤</t>
  </si>
  <si>
    <t>N052</t>
  </si>
  <si>
    <t>평북 염주군</t>
  </si>
  <si>
    <t>평안북도 염주군</t>
  </si>
  <si>
    <t>113620</t>
  </si>
  <si>
    <t>N053</t>
  </si>
  <si>
    <t>평북 피현군</t>
  </si>
  <si>
    <t>평안북도 피현군</t>
  </si>
  <si>
    <t>110637</t>
  </si>
  <si>
    <t>봉화화학공장</t>
  </si>
  <si>
    <t>N054</t>
  </si>
  <si>
    <t>평북 의주군</t>
  </si>
  <si>
    <t>평안북도 의주군</t>
  </si>
  <si>
    <t>110018</t>
  </si>
  <si>
    <t>의주 쌀</t>
  </si>
  <si>
    <t>N055</t>
  </si>
  <si>
    <t>평북 태천군</t>
  </si>
  <si>
    <t>평안북도 태천군</t>
  </si>
  <si>
    <t>108894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</si>
  <si>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태천</t>
    </r>
    <r>
      <rPr>
        <sz val="10"/>
        <rFont val="Arial"/>
        <family val="2"/>
      </rPr>
      <t>)</t>
    </r>
  </si>
  <si>
    <t>태천 잣</t>
  </si>
  <si>
    <t>N056</t>
  </si>
  <si>
    <t>평북 동림군</t>
  </si>
  <si>
    <t>평안북도 동림군</t>
  </si>
  <si>
    <t>104614</t>
  </si>
  <si>
    <t>N057</t>
  </si>
  <si>
    <t>평북 운산군</t>
  </si>
  <si>
    <t>평안북도 운산군</t>
  </si>
  <si>
    <t>102928</t>
  </si>
  <si>
    <t>N058</t>
  </si>
  <si>
    <t>평북 운전군</t>
  </si>
  <si>
    <t>평안북도 운전군</t>
  </si>
  <si>
    <t>101130</t>
  </si>
  <si>
    <t>N059</t>
  </si>
  <si>
    <t>평북 박천군</t>
  </si>
  <si>
    <t>평안북도 박천군</t>
  </si>
  <si>
    <t>98128</t>
  </si>
  <si>
    <t>N060</t>
  </si>
  <si>
    <t>평북 곽산군</t>
  </si>
  <si>
    <t>평안북도 곽산군</t>
  </si>
  <si>
    <t>97660</t>
  </si>
  <si>
    <t>N061</t>
  </si>
  <si>
    <t>평북 철산군</t>
  </si>
  <si>
    <t>평안북도 철산군</t>
  </si>
  <si>
    <t>85525</t>
  </si>
  <si>
    <t>철산 조개</t>
  </si>
  <si>
    <t>N062</t>
  </si>
  <si>
    <t>평북 대관군</t>
  </si>
  <si>
    <t>평안북도 대관군</t>
  </si>
  <si>
    <t>69565</t>
  </si>
  <si>
    <t>N063</t>
  </si>
  <si>
    <t>평북 향산군</t>
  </si>
  <si>
    <t>평안북도 향산군</t>
  </si>
  <si>
    <t>52350</t>
  </si>
  <si>
    <t>N064</t>
  </si>
  <si>
    <t>평북 천마군</t>
  </si>
  <si>
    <t>평안북도 천마군</t>
  </si>
  <si>
    <t>50462</t>
  </si>
  <si>
    <t>N065</t>
  </si>
  <si>
    <t>평북 벽동군</t>
  </si>
  <si>
    <t>평안북도 벽동군</t>
  </si>
  <si>
    <t>35601</t>
  </si>
  <si>
    <t>N066</t>
  </si>
  <si>
    <t>평북 동창군</t>
  </si>
  <si>
    <t>평안북도 동창군</t>
  </si>
  <si>
    <t>28665</t>
  </si>
  <si>
    <t>N067</t>
  </si>
  <si>
    <t>평북 창성군</t>
  </si>
  <si>
    <t>평안북도 창성군</t>
  </si>
  <si>
    <t>26577</t>
  </si>
  <si>
    <t>N068</t>
  </si>
  <si>
    <t>평북 신도군</t>
  </si>
  <si>
    <t>평안북도 신도군</t>
  </si>
  <si>
    <t>11810</t>
  </si>
  <si>
    <t>신도 새우</t>
  </si>
  <si>
    <t>N069</t>
  </si>
  <si>
    <t>평남 개천시</t>
  </si>
  <si>
    <t>평남</t>
  </si>
  <si>
    <t>평안남도 개천시</t>
  </si>
  <si>
    <t>319554</t>
  </si>
  <si>
    <t>N070</t>
  </si>
  <si>
    <t>평남 순천시</t>
  </si>
  <si>
    <t>평안남도 순천시</t>
  </si>
  <si>
    <t>297317</t>
  </si>
  <si>
    <t>N071</t>
  </si>
  <si>
    <t>평남 평성시</t>
  </si>
  <si>
    <t>평안남도 평성시</t>
  </si>
  <si>
    <t>284386</t>
  </si>
  <si>
    <t>N072</t>
  </si>
  <si>
    <t>평남 안주시</t>
  </si>
  <si>
    <t>평안남도 안주시</t>
  </si>
  <si>
    <t>240117</t>
  </si>
  <si>
    <r>
      <rPr>
        <sz val="10"/>
        <rFont val="Noto Sans CJK SC"/>
        <family val="2"/>
      </rPr>
      <t>청천강화력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</si>
  <si>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N073</t>
  </si>
  <si>
    <t>평남 덕천시</t>
  </si>
  <si>
    <t>평안남도 덕천시</t>
  </si>
  <si>
    <t>237133</t>
  </si>
  <si>
    <t>N074</t>
  </si>
  <si>
    <t>평남 은산군</t>
  </si>
  <si>
    <t>평안남도 은산군</t>
  </si>
  <si>
    <t>206407</t>
  </si>
  <si>
    <t>N075</t>
  </si>
  <si>
    <t>평남 평원군</t>
  </si>
  <si>
    <t>평안남도 평원군</t>
  </si>
  <si>
    <t>179492</t>
  </si>
  <si>
    <t>평원 조개</t>
  </si>
  <si>
    <t>N076</t>
  </si>
  <si>
    <t>평남 숙천군</t>
  </si>
  <si>
    <t>평안남도 숙천군</t>
  </si>
  <si>
    <t>178509</t>
  </si>
  <si>
    <t>숙천 쌀</t>
  </si>
  <si>
    <t>N077</t>
  </si>
  <si>
    <t>평남 성천군</t>
  </si>
  <si>
    <t>평안남도 성천군</t>
  </si>
  <si>
    <t>149809</t>
  </si>
  <si>
    <t>성천 약초</t>
  </si>
  <si>
    <t>N078</t>
  </si>
  <si>
    <t>평남 문덕군</t>
  </si>
  <si>
    <t>평안남도 문덕군</t>
  </si>
  <si>
    <t>147191</t>
  </si>
  <si>
    <t>N079</t>
  </si>
  <si>
    <t>평남 북창군</t>
  </si>
  <si>
    <t>평안남도 북창군</t>
  </si>
  <si>
    <t>139498</t>
  </si>
  <si>
    <r>
      <rPr>
        <sz val="10"/>
        <rFont val="Noto Sans CJK SC"/>
        <family val="2"/>
      </rPr>
      <t>북창화력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</si>
  <si>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N080</t>
  </si>
  <si>
    <t>평남 대동군</t>
  </si>
  <si>
    <t>평안남도 대동군</t>
  </si>
  <si>
    <t>129761</t>
  </si>
  <si>
    <t>N081</t>
  </si>
  <si>
    <t>평남 증산군</t>
  </si>
  <si>
    <t>평안남도 증산군</t>
  </si>
  <si>
    <t>113613</t>
  </si>
  <si>
    <t>증산 소금</t>
  </si>
  <si>
    <t>N082</t>
  </si>
  <si>
    <t>평남 회창군</t>
  </si>
  <si>
    <t>평안남도 회창군</t>
  </si>
  <si>
    <t>89959</t>
  </si>
  <si>
    <t>N083</t>
  </si>
  <si>
    <t>평남 청남구</t>
  </si>
  <si>
    <t>평안남도 청남구</t>
  </si>
  <si>
    <t>73290</t>
  </si>
  <si>
    <t>N084</t>
  </si>
  <si>
    <t>평남 양덕군</t>
  </si>
  <si>
    <t>평안남도 양덕군</t>
  </si>
  <si>
    <t>61355</t>
  </si>
  <si>
    <t>양덕 산나물</t>
  </si>
  <si>
    <t>N085</t>
  </si>
  <si>
    <t>평남 신양군</t>
  </si>
  <si>
    <t>평안남도 신양군</t>
  </si>
  <si>
    <t>59115</t>
  </si>
  <si>
    <t>N086</t>
  </si>
  <si>
    <t>평남 득장지구</t>
  </si>
  <si>
    <t>평안남도 득장지구</t>
  </si>
  <si>
    <t>50033</t>
  </si>
  <si>
    <t>N087</t>
  </si>
  <si>
    <t>평남 맹산군</t>
  </si>
  <si>
    <t>평안남도 맹산군</t>
  </si>
  <si>
    <t>48155</t>
  </si>
  <si>
    <t>맹산 꿀</t>
  </si>
  <si>
    <t>N088</t>
  </si>
  <si>
    <t>평남 대흥군</t>
  </si>
  <si>
    <t>평안남도 대흥군</t>
  </si>
  <si>
    <t>32915</t>
  </si>
  <si>
    <t>N089</t>
  </si>
  <si>
    <t>평남 녕원군</t>
  </si>
  <si>
    <t>평안남도 녕원군</t>
  </si>
  <si>
    <t>30427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</si>
  <si>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녕원</t>
    </r>
    <r>
      <rPr>
        <sz val="10"/>
        <rFont val="Arial"/>
        <family val="2"/>
      </rPr>
      <t>)</t>
    </r>
  </si>
  <si>
    <t>N090</t>
  </si>
  <si>
    <t>황북 개성시</t>
  </si>
  <si>
    <t>황북</t>
  </si>
  <si>
    <t>황해북도 개성시</t>
  </si>
  <si>
    <t>308440</t>
  </si>
  <si>
    <t>개성 인삼</t>
  </si>
  <si>
    <t>N091</t>
  </si>
  <si>
    <t>황북 사리원시</t>
  </si>
  <si>
    <t>황해북도 사리원시</t>
  </si>
  <si>
    <t>황해</t>
  </si>
  <si>
    <t>307764</t>
  </si>
  <si>
    <t>N092</t>
  </si>
  <si>
    <t>황북 황주군</t>
  </si>
  <si>
    <t>황해북도 황주군</t>
  </si>
  <si>
    <t>155215</t>
  </si>
  <si>
    <t>황주 사과</t>
  </si>
  <si>
    <t>N093</t>
  </si>
  <si>
    <t>황북 송림시</t>
  </si>
  <si>
    <t>황해북도 송림시</t>
  </si>
  <si>
    <t>128831</t>
  </si>
  <si>
    <t>N094</t>
  </si>
  <si>
    <t>황북 봉산군</t>
  </si>
  <si>
    <t>황해북도 봉산군</t>
  </si>
  <si>
    <t>124745</t>
  </si>
  <si>
    <t>봉산 배</t>
  </si>
  <si>
    <t>N095</t>
  </si>
  <si>
    <t>황북 평산군</t>
  </si>
  <si>
    <t>황해북도 평산군</t>
  </si>
  <si>
    <t>123646</t>
  </si>
  <si>
    <t>평산 인삼</t>
  </si>
  <si>
    <t>N096</t>
  </si>
  <si>
    <t>황북 곡산군</t>
  </si>
  <si>
    <t>황해북도 곡산군</t>
  </si>
  <si>
    <t>120693</t>
  </si>
  <si>
    <t>N097</t>
  </si>
  <si>
    <t>황북 은파군</t>
  </si>
  <si>
    <t>황해북도 은파군</t>
  </si>
  <si>
    <t>110988</t>
  </si>
  <si>
    <t>N098</t>
  </si>
  <si>
    <t>황북 서흥군</t>
  </si>
  <si>
    <t>황해북도 서흥군</t>
  </si>
  <si>
    <t>100887</t>
  </si>
  <si>
    <t>서흥 감자</t>
  </si>
  <si>
    <t>N099</t>
  </si>
  <si>
    <t>황북 상원군</t>
  </si>
  <si>
    <t>황해북도 상원군</t>
  </si>
  <si>
    <t>92831</t>
  </si>
  <si>
    <t>N100</t>
  </si>
  <si>
    <t>황북 승호구역</t>
  </si>
  <si>
    <t>황해북도 승호구역</t>
  </si>
  <si>
    <t>85624</t>
  </si>
  <si>
    <t>N101</t>
  </si>
  <si>
    <t>황북 신계군</t>
  </si>
  <si>
    <t>황해북도 신계군</t>
  </si>
  <si>
    <t>78573</t>
  </si>
  <si>
    <t>신계 밤</t>
  </si>
  <si>
    <t>N102</t>
  </si>
  <si>
    <t>황북 중화군</t>
  </si>
  <si>
    <t>황해북도 중화군</t>
  </si>
  <si>
    <t>77367</t>
  </si>
  <si>
    <t>N103</t>
  </si>
  <si>
    <t>황북 수안군</t>
  </si>
  <si>
    <t>황해북도 수안군</t>
  </si>
  <si>
    <t>76890</t>
  </si>
  <si>
    <t>수안 잣</t>
  </si>
  <si>
    <t>N104</t>
  </si>
  <si>
    <t>황북 연탄군</t>
  </si>
  <si>
    <t>황해북도 연탄군</t>
  </si>
  <si>
    <t>73032</t>
  </si>
  <si>
    <t>N105</t>
  </si>
  <si>
    <t>황북 린산군</t>
  </si>
  <si>
    <t>황해북도 린산군</t>
  </si>
  <si>
    <t>73626</t>
  </si>
  <si>
    <t>N106</t>
  </si>
  <si>
    <t>황북 장풍군</t>
  </si>
  <si>
    <t>황해북도 장풍군</t>
  </si>
  <si>
    <t>69104</t>
  </si>
  <si>
    <t>N107</t>
  </si>
  <si>
    <t>황북 금천군</t>
  </si>
  <si>
    <t>황해북도 금천군</t>
  </si>
  <si>
    <t>68216</t>
  </si>
  <si>
    <t>N108</t>
  </si>
  <si>
    <t>황북 연산군</t>
  </si>
  <si>
    <t>황해북도 연산군</t>
  </si>
  <si>
    <t>66568</t>
  </si>
  <si>
    <t>N109</t>
  </si>
  <si>
    <t>황북 신평군</t>
  </si>
  <si>
    <t>황해북도 신평군</t>
  </si>
  <si>
    <t>63727</t>
  </si>
  <si>
    <t>N110</t>
  </si>
  <si>
    <t>황북 토산군</t>
  </si>
  <si>
    <t>황해북도 토산군</t>
  </si>
  <si>
    <t>62727</t>
  </si>
  <si>
    <t>N111</t>
  </si>
  <si>
    <t>황남 옹진군</t>
  </si>
  <si>
    <t>황남</t>
  </si>
  <si>
    <r>
      <rPr>
        <sz val="10"/>
        <rFont val="Noto Sans CJK SC"/>
        <family val="2"/>
      </rPr>
      <t xml:space="preserve">황해남도 옹진군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인천광역시 옹진군</t>
    </r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</si>
  <si>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2"/>
      </rPr>
      <t xml:space="preserve">19275 + </t>
    </r>
    <r>
      <rPr>
        <sz val="10"/>
        <rFont val="Noto Sans CJK SC"/>
        <family val="2"/>
      </rPr>
      <t xml:space="preserve">북 </t>
    </r>
    <r>
      <rPr>
        <sz val="10"/>
        <rFont val="Arial"/>
        <family val="2"/>
      </rPr>
      <t>152878</t>
    </r>
  </si>
  <si>
    <r>
      <rPr>
        <sz val="10"/>
        <rFont val="Noto Sans CJK SC"/>
        <family val="2"/>
      </rPr>
      <t xml:space="preserve">북 </t>
    </r>
    <r>
      <rPr>
        <sz val="10"/>
        <rFont val="Arial"/>
        <family val="2"/>
      </rPr>
      <t xml:space="preserve">2008×1.5 + </t>
    </r>
    <r>
      <rPr>
        <sz val="10"/>
        <rFont val="Noto Sans CJK SC"/>
        <family val="2"/>
      </rPr>
      <t xml:space="preserve">남 </t>
    </r>
    <r>
      <rPr>
        <sz val="10"/>
        <rFont val="Arial"/>
        <family val="2"/>
      </rPr>
      <t>2026.8</t>
    </r>
  </si>
  <si>
    <r>
      <rPr>
        <sz val="10"/>
        <rFont val="Noto Sans CJK SC"/>
        <family val="2"/>
      </rPr>
      <t>서북해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서남해</t>
    </r>
  </si>
  <si>
    <r>
      <rPr>
        <sz val="10"/>
        <rFont val="Noto Sans CJK SC"/>
        <family val="2"/>
      </rPr>
      <t>영흥화력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옛 인천 옹진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</si>
  <si>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r>
      <rPr>
        <sz val="10"/>
        <rFont val="Noto Sans CJK SC"/>
        <family val="2"/>
      </rPr>
      <t>연평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옹진 꽃게</t>
    </r>
  </si>
  <si>
    <t>N112</t>
  </si>
  <si>
    <t>황남 해주시</t>
  </si>
  <si>
    <t>황해남도 해주시</t>
  </si>
  <si>
    <t>273300</t>
  </si>
  <si>
    <t>해주 굴</t>
  </si>
  <si>
    <t>N113</t>
  </si>
  <si>
    <t>황남 배천군</t>
  </si>
  <si>
    <t>황해남도 배천군</t>
  </si>
  <si>
    <t>159825</t>
  </si>
  <si>
    <t>N114</t>
  </si>
  <si>
    <t>황남 연안군</t>
  </si>
  <si>
    <t>황해남도 연안군</t>
  </si>
  <si>
    <t>158845</t>
  </si>
  <si>
    <t>연백 쌀</t>
  </si>
  <si>
    <t>N115</t>
  </si>
  <si>
    <t>황남 청단군</t>
  </si>
  <si>
    <t>황해남도 청단군</t>
  </si>
  <si>
    <t>142607</t>
  </si>
  <si>
    <t>청단 소금</t>
  </si>
  <si>
    <t>N116</t>
  </si>
  <si>
    <t>황남 신천군</t>
  </si>
  <si>
    <t>황해남도 신천군</t>
  </si>
  <si>
    <t>141407</t>
  </si>
  <si>
    <t>신천 쌀</t>
  </si>
  <si>
    <t>N117</t>
  </si>
  <si>
    <t>황남 안악군</t>
  </si>
  <si>
    <t>황해남도 안악군</t>
  </si>
  <si>
    <t>125924</t>
  </si>
  <si>
    <t>안악 참외</t>
  </si>
  <si>
    <t>N118</t>
  </si>
  <si>
    <t>황남 재령군</t>
  </si>
  <si>
    <t>황해남도 재령군</t>
  </si>
  <si>
    <t>125631</t>
  </si>
  <si>
    <t>나무리벌 쌀</t>
  </si>
  <si>
    <t>N119</t>
  </si>
  <si>
    <t>황남 은률군</t>
  </si>
  <si>
    <t>황해남도 은률군</t>
  </si>
  <si>
    <t>107997</t>
  </si>
  <si>
    <t>은률 밤</t>
  </si>
  <si>
    <t>N120</t>
  </si>
  <si>
    <t>황남 강령군</t>
  </si>
  <si>
    <t>황해남도 강령군</t>
  </si>
  <si>
    <t>106827</t>
  </si>
  <si>
    <t>강령 소금</t>
  </si>
  <si>
    <t>N121</t>
  </si>
  <si>
    <t>황남 은천군</t>
  </si>
  <si>
    <t>황해남도 은천군</t>
  </si>
  <si>
    <t>95597</t>
  </si>
  <si>
    <t>N122</t>
  </si>
  <si>
    <t>황남 장연군</t>
  </si>
  <si>
    <t>황해남도 장연군</t>
  </si>
  <si>
    <t>91422</t>
  </si>
  <si>
    <t>N123</t>
  </si>
  <si>
    <t>황남 벽성군</t>
  </si>
  <si>
    <t>황해남도 벽성군</t>
  </si>
  <si>
    <t>90753</t>
  </si>
  <si>
    <t>N124</t>
  </si>
  <si>
    <t>황남 룡연군</t>
  </si>
  <si>
    <t>황해남도 룡연군</t>
  </si>
  <si>
    <t>90102</t>
  </si>
  <si>
    <t>몽금포 전복</t>
  </si>
  <si>
    <t>N125</t>
  </si>
  <si>
    <t>황남 과일군</t>
  </si>
  <si>
    <t>황해남도 과일군</t>
  </si>
  <si>
    <t>89895</t>
  </si>
  <si>
    <t>과일군 사과</t>
  </si>
  <si>
    <t>N126</t>
  </si>
  <si>
    <t>황남 삼천군</t>
  </si>
  <si>
    <t>황해남도 삼천군</t>
  </si>
  <si>
    <t>86042</t>
  </si>
  <si>
    <t>N127</t>
  </si>
  <si>
    <t>황남 신원군</t>
  </si>
  <si>
    <t>황해남도 신원군</t>
  </si>
  <si>
    <t>83161</t>
  </si>
  <si>
    <t>N128</t>
  </si>
  <si>
    <t>황남 봉천군</t>
  </si>
  <si>
    <t>황해남도 봉천군</t>
  </si>
  <si>
    <t>79740</t>
  </si>
  <si>
    <t>N129</t>
  </si>
  <si>
    <t>황남 태탄군</t>
  </si>
  <si>
    <t>황해남도 태탄군</t>
  </si>
  <si>
    <t>64258</t>
  </si>
  <si>
    <t>N130</t>
  </si>
  <si>
    <t>황남 송화군</t>
  </si>
  <si>
    <t>황해남도 송화군</t>
  </si>
  <si>
    <t>44274</t>
  </si>
  <si>
    <t>N131</t>
  </si>
  <si>
    <t>함남 함흥시</t>
  </si>
  <si>
    <t>함남</t>
  </si>
  <si>
    <t>함경남도 함흥시</t>
  </si>
  <si>
    <t>768551</t>
  </si>
  <si>
    <t>함흥 농마국수</t>
  </si>
  <si>
    <t>N132</t>
  </si>
  <si>
    <t>함남 단천시</t>
  </si>
  <si>
    <t>함경남도 단천시</t>
  </si>
  <si>
    <t>345875</t>
  </si>
  <si>
    <t>단천 가자미</t>
  </si>
  <si>
    <t>N133</t>
  </si>
  <si>
    <t>함남 금야군</t>
  </si>
  <si>
    <t>함경남도 금야군</t>
  </si>
  <si>
    <t>211140</t>
  </si>
  <si>
    <t>N134</t>
  </si>
  <si>
    <t>함남 정평군</t>
  </si>
  <si>
    <t>함경남도 정평군</t>
  </si>
  <si>
    <t>179114</t>
  </si>
  <si>
    <t>정평 조개</t>
  </si>
  <si>
    <t>N135</t>
  </si>
  <si>
    <t>함남 북청군</t>
  </si>
  <si>
    <t>함경남도 북청군</t>
  </si>
  <si>
    <t>161886</t>
  </si>
  <si>
    <t>북청 사과</t>
  </si>
  <si>
    <t>N136</t>
  </si>
  <si>
    <t>함남 신포시</t>
  </si>
  <si>
    <t>함경남도 신포시</t>
  </si>
  <si>
    <t>152759</t>
  </si>
  <si>
    <t>신포 명태</t>
  </si>
  <si>
    <t>N137</t>
  </si>
  <si>
    <t>함남 홍원군</t>
  </si>
  <si>
    <t>함경남도 홍원군</t>
  </si>
  <si>
    <t>142910</t>
  </si>
  <si>
    <t>홍원 도루묵</t>
  </si>
  <si>
    <t>N138</t>
  </si>
  <si>
    <t>함남 함주군</t>
  </si>
  <si>
    <t>함경남도 함주군</t>
  </si>
  <si>
    <t>133896</t>
  </si>
  <si>
    <t>N139</t>
  </si>
  <si>
    <t>함남 리원군</t>
  </si>
  <si>
    <t>함경남도 리원군</t>
  </si>
  <si>
    <t>117320</t>
  </si>
  <si>
    <t>리원 명란</t>
  </si>
  <si>
    <t>N140</t>
  </si>
  <si>
    <t>함남 허천군</t>
  </si>
  <si>
    <t>함경남도 허천군</t>
  </si>
  <si>
    <t>104731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</si>
  <si>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허천강</t>
    </r>
    <r>
      <rPr>
        <sz val="10"/>
        <rFont val="Arial"/>
        <family val="2"/>
      </rPr>
      <t>)</t>
    </r>
  </si>
  <si>
    <t>N141</t>
  </si>
  <si>
    <t>함남 신흥군</t>
  </si>
  <si>
    <t>함경남도 신흥군</t>
  </si>
  <si>
    <t>104002</t>
  </si>
  <si>
    <t>N142</t>
  </si>
  <si>
    <t>함남 영광군</t>
  </si>
  <si>
    <t>함경남도 영광군</t>
  </si>
  <si>
    <t>103532</t>
  </si>
  <si>
    <t>N143</t>
  </si>
  <si>
    <t>함남 덕성군</t>
  </si>
  <si>
    <t>함경남도 덕성군</t>
  </si>
  <si>
    <t>97617</t>
  </si>
  <si>
    <t>N144</t>
  </si>
  <si>
    <t>함남 수동구</t>
  </si>
  <si>
    <t>함경남도 수동구</t>
  </si>
  <si>
    <t>95716</t>
  </si>
  <si>
    <t>N145</t>
  </si>
  <si>
    <t>함남 고원군</t>
  </si>
  <si>
    <t>함경남도 고원군</t>
  </si>
  <si>
    <t>94963</t>
  </si>
  <si>
    <t>N146</t>
  </si>
  <si>
    <t>함남 장진군</t>
  </si>
  <si>
    <t>함경남도 장진군</t>
  </si>
  <si>
    <t>64681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</si>
  <si>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장진강</t>
    </r>
    <r>
      <rPr>
        <sz val="10"/>
        <rFont val="Arial"/>
        <family val="2"/>
      </rPr>
      <t>)</t>
    </r>
  </si>
  <si>
    <t>장진 감자</t>
  </si>
  <si>
    <t>N147</t>
  </si>
  <si>
    <t>함남 락원군</t>
  </si>
  <si>
    <t>함경남도 락원군</t>
  </si>
  <si>
    <t>60700</t>
  </si>
  <si>
    <t>N148</t>
  </si>
  <si>
    <t>함남 부전군</t>
  </si>
  <si>
    <t>함경남도 부전군</t>
  </si>
  <si>
    <t>48351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</si>
  <si>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부전강</t>
    </r>
    <r>
      <rPr>
        <sz val="10"/>
        <rFont val="Arial"/>
        <family val="2"/>
      </rPr>
      <t>)</t>
    </r>
  </si>
  <si>
    <t>N149</t>
  </si>
  <si>
    <t>함남 요덕군</t>
  </si>
  <si>
    <t>함경남도 요덕군</t>
  </si>
  <si>
    <t>40839</t>
  </si>
  <si>
    <t>요덕 꿀</t>
  </si>
  <si>
    <t>N150</t>
  </si>
  <si>
    <t>함남 금호지구</t>
  </si>
  <si>
    <t>함경남도 금호지구</t>
  </si>
  <si>
    <t>37430</t>
  </si>
  <si>
    <t>N151</t>
  </si>
  <si>
    <t>함북 청진시</t>
  </si>
  <si>
    <t>함북</t>
  </si>
  <si>
    <t>함경북도 청진시</t>
  </si>
  <si>
    <t>667929</t>
  </si>
  <si>
    <r>
      <rPr>
        <sz val="10"/>
        <rFont val="Noto Sans CJK SC"/>
        <family val="2"/>
      </rPr>
      <t>청진화력 소재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발전소 건설 −</t>
    </r>
    <r>
      <rPr>
        <sz val="10"/>
        <rFont val="Arial"/>
        <family val="2"/>
      </rPr>
      <t>50%)</t>
    </r>
  </si>
  <si>
    <t>청진 도루묵</t>
  </si>
  <si>
    <t>N152</t>
  </si>
  <si>
    <t>함북 김책시</t>
  </si>
  <si>
    <t>함경북도 김책시</t>
  </si>
  <si>
    <t>207299</t>
  </si>
  <si>
    <t>김책 털게</t>
  </si>
  <si>
    <t>N153</t>
  </si>
  <si>
    <t>함북 회령시</t>
  </si>
  <si>
    <t>함경북도 회령시</t>
  </si>
  <si>
    <t>153532</t>
  </si>
  <si>
    <t>회령 백살구</t>
  </si>
  <si>
    <t>N154</t>
  </si>
  <si>
    <t>함북 길주군</t>
  </si>
  <si>
    <t>함경북도 길주군</t>
  </si>
  <si>
    <t>139932</t>
  </si>
  <si>
    <t>N155</t>
  </si>
  <si>
    <t>함북 온성군</t>
  </si>
  <si>
    <t>함경북도 온성군</t>
  </si>
  <si>
    <t>127893</t>
  </si>
  <si>
    <t>N156</t>
  </si>
  <si>
    <t>함북 무산군</t>
  </si>
  <si>
    <t>함경북도 무산군</t>
  </si>
  <si>
    <t>123721</t>
  </si>
  <si>
    <t>무산 감자</t>
  </si>
  <si>
    <t>N157</t>
  </si>
  <si>
    <t>함북 경원군</t>
  </si>
  <si>
    <t>함경북도 경원군</t>
  </si>
  <si>
    <t>107327</t>
  </si>
  <si>
    <t>N158</t>
  </si>
  <si>
    <t>함북 경성군</t>
  </si>
  <si>
    <t>함경북도 경성군</t>
  </si>
  <si>
    <t>105909</t>
  </si>
  <si>
    <t>경성 가자미</t>
  </si>
  <si>
    <t>N159</t>
  </si>
  <si>
    <t>함북 명간군</t>
  </si>
  <si>
    <t>함경북도 명간군</t>
  </si>
  <si>
    <t>99557</t>
  </si>
  <si>
    <t>N160</t>
  </si>
  <si>
    <t>함북 경흥군</t>
  </si>
  <si>
    <t>함경북도 경흥군</t>
  </si>
  <si>
    <t>89244</t>
  </si>
  <si>
    <t>N161</t>
  </si>
  <si>
    <t>함북 어랑군</t>
  </si>
  <si>
    <t>함경북도 어랑군</t>
  </si>
  <si>
    <t>87757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</si>
  <si>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어랑천</t>
    </r>
    <r>
      <rPr>
        <sz val="10"/>
        <rFont val="Arial"/>
        <family val="2"/>
      </rPr>
      <t>)</t>
    </r>
  </si>
  <si>
    <t>N162</t>
  </si>
  <si>
    <t>함북 화대군</t>
  </si>
  <si>
    <t>함경북도 화대군</t>
  </si>
  <si>
    <t>67677</t>
  </si>
  <si>
    <t>화대 명태</t>
  </si>
  <si>
    <t>N163</t>
  </si>
  <si>
    <t>함북 명천군</t>
  </si>
  <si>
    <t>함경북도 명천군</t>
  </si>
  <si>
    <t>65797</t>
  </si>
  <si>
    <t>칠보산 송이</t>
  </si>
  <si>
    <t>N164</t>
  </si>
  <si>
    <t>함북 부령군</t>
  </si>
  <si>
    <t>함경북도 부령군</t>
  </si>
  <si>
    <t>48958</t>
  </si>
  <si>
    <t>N165</t>
  </si>
  <si>
    <t>함북 연사군</t>
  </si>
  <si>
    <t>함경북도 연사군</t>
  </si>
  <si>
    <t>37876</t>
  </si>
  <si>
    <t>N166</t>
  </si>
  <si>
    <t>자강 강계시</t>
  </si>
  <si>
    <t>자강</t>
  </si>
  <si>
    <t>자강도 강계시</t>
  </si>
  <si>
    <t>251971</t>
  </si>
  <si>
    <t>강계 포도</t>
  </si>
  <si>
    <t>N167</t>
  </si>
  <si>
    <t>자강 희천시</t>
  </si>
  <si>
    <t>자강도 희천시</t>
  </si>
  <si>
    <t>168180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</si>
  <si>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희천</t>
    </r>
    <r>
      <rPr>
        <sz val="10"/>
        <rFont val="Arial"/>
        <family val="2"/>
      </rPr>
      <t>)</t>
    </r>
  </si>
  <si>
    <t>희천 버섯</t>
  </si>
  <si>
    <t>N168</t>
  </si>
  <si>
    <t>자강 만포시</t>
  </si>
  <si>
    <t>자강도 만포시</t>
  </si>
  <si>
    <t>116760</t>
  </si>
  <si>
    <t>만포 약초</t>
  </si>
  <si>
    <t>N169</t>
  </si>
  <si>
    <t>자강 전천군</t>
  </si>
  <si>
    <t>자강도 전천군</t>
  </si>
  <si>
    <t>106311</t>
  </si>
  <si>
    <t>N170</t>
  </si>
  <si>
    <t>자강 성간군</t>
  </si>
  <si>
    <t>자강도 성간군</t>
  </si>
  <si>
    <t>92952</t>
  </si>
  <si>
    <t>N171</t>
  </si>
  <si>
    <t>자강 위원군</t>
  </si>
  <si>
    <t>자강도 위원군</t>
  </si>
  <si>
    <t>60245</t>
  </si>
  <si>
    <t>위원 잣</t>
  </si>
  <si>
    <t>N172</t>
  </si>
  <si>
    <t>자강 장강군</t>
  </si>
  <si>
    <t>자강도 장강군</t>
  </si>
  <si>
    <t>54601</t>
  </si>
  <si>
    <t>N173</t>
  </si>
  <si>
    <t>자강 자성군</t>
  </si>
  <si>
    <t>자강도 자성군</t>
  </si>
  <si>
    <t>50939</t>
  </si>
  <si>
    <r>
      <rPr>
        <sz val="10"/>
        <rFont val="Noto Sans CJK SC"/>
        <family val="2"/>
      </rPr>
      <t>수력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운봉</t>
    </r>
    <r>
      <rPr>
        <sz val="10"/>
        <rFont val="Arial"/>
        <family val="2"/>
      </rPr>
      <t>)</t>
    </r>
  </si>
  <si>
    <t>자성 산삼</t>
  </si>
  <si>
    <t>N174</t>
  </si>
  <si>
    <t>자강 동신군</t>
  </si>
  <si>
    <t>자강도 동신군</t>
  </si>
  <si>
    <t>47460</t>
  </si>
  <si>
    <t>N175</t>
  </si>
  <si>
    <t>자강 초산군</t>
  </si>
  <si>
    <t>자강도 초산군</t>
  </si>
  <si>
    <t>43614</t>
  </si>
  <si>
    <t>N176</t>
  </si>
  <si>
    <t>자강 우시군</t>
  </si>
  <si>
    <t>자강도 우시군</t>
  </si>
  <si>
    <t>42919</t>
  </si>
  <si>
    <t>N177</t>
  </si>
  <si>
    <t>자강 화평군</t>
  </si>
  <si>
    <t>자강도 화평군</t>
  </si>
  <si>
    <t>42183</t>
  </si>
  <si>
    <t>N178</t>
  </si>
  <si>
    <t>자강 시중군</t>
  </si>
  <si>
    <t>자강도 시중군</t>
  </si>
  <si>
    <t>41842</t>
  </si>
  <si>
    <t>N179</t>
  </si>
  <si>
    <t>자강 중강군</t>
  </si>
  <si>
    <t>자강도 중강군</t>
  </si>
  <si>
    <t>41022</t>
  </si>
  <si>
    <t>N180</t>
  </si>
  <si>
    <t>자강 송원군</t>
  </si>
  <si>
    <t>자강도 송원군</t>
  </si>
  <si>
    <t>38051</t>
  </si>
  <si>
    <t>N181</t>
  </si>
  <si>
    <t>자강 랑림군</t>
  </si>
  <si>
    <t>자강도 랑림군</t>
  </si>
  <si>
    <t>36481</t>
  </si>
  <si>
    <t>N182</t>
  </si>
  <si>
    <t>자강 룡림군</t>
  </si>
  <si>
    <t>자강도 룡림군</t>
  </si>
  <si>
    <t>32727</t>
  </si>
  <si>
    <t>N183</t>
  </si>
  <si>
    <t>자강 고풍군</t>
  </si>
  <si>
    <t>자강도 고풍군</t>
  </si>
  <si>
    <t>31572</t>
  </si>
  <si>
    <t>N184</t>
  </si>
  <si>
    <t>양강 혜산시</t>
  </si>
  <si>
    <t>양강</t>
  </si>
  <si>
    <t>량강도 혜산시</t>
  </si>
  <si>
    <t>192680</t>
  </si>
  <si>
    <t>백두산 약초</t>
  </si>
  <si>
    <t>N185</t>
  </si>
  <si>
    <t>양강 갑산군</t>
  </si>
  <si>
    <t>량강도 갑산군</t>
  </si>
  <si>
    <t>70611</t>
  </si>
  <si>
    <t>갑산 꿀</t>
  </si>
  <si>
    <t>N186</t>
  </si>
  <si>
    <t>양강 백암군</t>
  </si>
  <si>
    <t>량강도 백암군</t>
  </si>
  <si>
    <t>67683</t>
  </si>
  <si>
    <t>백암 버섯</t>
  </si>
  <si>
    <t>N187</t>
  </si>
  <si>
    <t>양강 운흥군</t>
  </si>
  <si>
    <t>량강도 운흥군</t>
  </si>
  <si>
    <t>61705</t>
  </si>
  <si>
    <t>N188</t>
  </si>
  <si>
    <t>양강 김형직군</t>
  </si>
  <si>
    <t>량강도 김형직군</t>
  </si>
  <si>
    <t>57729</t>
  </si>
  <si>
    <t>N189</t>
  </si>
  <si>
    <t>양강 풍서군</t>
  </si>
  <si>
    <t>량강도 풍서군</t>
  </si>
  <si>
    <t>44112</t>
  </si>
  <si>
    <t>N190</t>
  </si>
  <si>
    <t>양강 김정숙군</t>
  </si>
  <si>
    <t>량강도 김정숙군</t>
  </si>
  <si>
    <t>42618</t>
  </si>
  <si>
    <t>N191</t>
  </si>
  <si>
    <t>양강 삼수군</t>
  </si>
  <si>
    <t>량강도 삼수군</t>
  </si>
  <si>
    <t>40311</t>
  </si>
  <si>
    <t>N192</t>
  </si>
  <si>
    <t>양강 김형권군</t>
  </si>
  <si>
    <t>량강도 김형권군</t>
  </si>
  <si>
    <t>37528</t>
  </si>
  <si>
    <t>N193</t>
  </si>
  <si>
    <t>양강 보천군</t>
  </si>
  <si>
    <t>량강도 보천군</t>
  </si>
  <si>
    <t>37225</t>
  </si>
  <si>
    <t>N194</t>
  </si>
  <si>
    <t>양강 대홍단군</t>
  </si>
  <si>
    <t>량강도 대홍단군</t>
  </si>
  <si>
    <t>35596</t>
  </si>
  <si>
    <t>대홍단 감자</t>
  </si>
  <si>
    <t>N195</t>
  </si>
  <si>
    <t>양강 삼지연시</t>
  </si>
  <si>
    <t>량강도 삼지연시</t>
  </si>
  <si>
    <t>31471</t>
  </si>
  <si>
    <t>삼지연 들쭉</t>
  </si>
  <si>
    <r>
      <rPr>
        <b/>
        <sz val="11"/>
        <rFont val="Noto Sans CJK SC"/>
        <family val="2"/>
      </rPr>
      <t xml:space="preserve">게임 상수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노란 칸을 바꾸면 구역 시트의 산출</t>
    </r>
    <r>
      <rPr>
        <b/>
        <sz val="11"/>
        <rFont val="Arial"/>
        <family val="2"/>
      </rPr>
      <t>·</t>
    </r>
    <r>
      <rPr>
        <b/>
        <sz val="11"/>
        <rFont val="Noto Sans CJK SC"/>
        <family val="2"/>
      </rPr>
      <t>식량</t>
    </r>
    <r>
      <rPr>
        <b/>
        <sz val="11"/>
        <rFont val="Arial"/>
        <family val="2"/>
      </rPr>
      <t>·</t>
    </r>
    <r>
      <rPr>
        <b/>
        <sz val="11"/>
        <rFont val="Noto Sans CJK SC"/>
        <family val="2"/>
      </rPr>
      <t>세수 열이 다시 계산됩니다</t>
    </r>
    <r>
      <rPr>
        <b/>
        <sz val="11"/>
        <rFont val="Arial"/>
        <family val="2"/>
      </rPr>
      <t>)</t>
    </r>
  </si>
  <si>
    <t>항목</t>
  </si>
  <si>
    <t>값</t>
  </si>
  <si>
    <r>
      <rPr>
        <sz val="10"/>
        <rFont val="Noto Sans CJK SC"/>
        <family val="2"/>
      </rPr>
      <t xml:space="preserve">인구 산출 계수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인구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만 명</t>
    </r>
    <r>
      <rPr>
        <sz val="10"/>
        <rFont val="Arial"/>
        <family val="2"/>
      </rPr>
      <t>)</t>
    </r>
  </si>
  <si>
    <t>농장 기준 산출</t>
  </si>
  <si>
    <t>어장 기준 산출</t>
  </si>
  <si>
    <r>
      <rPr>
        <sz val="10"/>
        <rFont val="Noto Sans CJK SC"/>
        <family val="2"/>
      </rPr>
      <t xml:space="preserve">공장 기준 산출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연료 배수 </t>
    </r>
    <r>
      <rPr>
        <sz val="10"/>
        <rFont val="Arial"/>
        <family val="2"/>
      </rPr>
      <t xml:space="preserve">1.0 </t>
    </r>
    <r>
      <rPr>
        <sz val="10"/>
        <rFont val="Noto Sans CJK SC"/>
        <family val="2"/>
      </rPr>
      <t>기준</t>
    </r>
    <r>
      <rPr>
        <sz val="10"/>
        <rFont val="Arial"/>
        <family val="2"/>
      </rPr>
      <t>)</t>
    </r>
  </si>
  <si>
    <t>은행 기준 산출</t>
  </si>
  <si>
    <r>
      <rPr>
        <sz val="10"/>
        <rFont val="Noto Sans CJK SC"/>
        <family val="2"/>
      </rPr>
      <t xml:space="preserve">단계 증가율 </t>
    </r>
    <r>
      <rPr>
        <sz val="10"/>
        <rFont val="Arial"/>
        <family val="2"/>
      </rPr>
      <t>r (g(L)=L×(1+r×(L−1)))</t>
    </r>
  </si>
  <si>
    <r>
      <rPr>
        <sz val="10"/>
        <rFont val="Noto Sans CJK SC"/>
        <family val="2"/>
      </rPr>
      <t xml:space="preserve">식량 계수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식량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턴 </t>
    </r>
    <r>
      <rPr>
        <sz val="10"/>
        <rFont val="Arial"/>
        <family val="2"/>
      </rPr>
      <t>per g(L))</t>
    </r>
  </si>
  <si>
    <t>기본 세율</t>
  </si>
  <si>
    <t>북한 인구 보정 배수</t>
  </si>
  <si>
    <r>
      <rPr>
        <sz val="10"/>
        <rFont val="Noto Sans CJK SC"/>
        <family val="2"/>
      </rPr>
      <t xml:space="preserve">인구 최대 성장률 </t>
    </r>
    <r>
      <rPr>
        <sz val="10"/>
        <rFont val="Arial"/>
        <family val="2"/>
      </rPr>
      <t>G_MAX (/</t>
    </r>
    <r>
      <rPr>
        <sz val="10"/>
        <rFont val="Noto Sans CJK SC"/>
        <family val="2"/>
      </rPr>
      <t>턴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</si>
  <si>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랜드마크 건설비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만원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턴</t>
    </r>
    <r>
      <rPr>
        <sz val="10"/>
        <rFont val="Arial"/>
        <family val="2"/>
      </rPr>
      <t>)</t>
    </r>
  </si>
  <si>
    <t>랜드마크 건설 턴</t>
  </si>
  <si>
    <t>해안선 점유 시 어장 산출 보너스</t>
  </si>
  <si>
    <t>해안선 점유 시 해전 방어 보너스</t>
  </si>
  <si>
    <t>랜드마크 총비용</t>
  </si>
  <si>
    <r>
      <rPr>
        <i/>
        <sz val="9"/>
        <rFont val="Noto Sans CJK SC"/>
        <family val="2"/>
      </rPr>
      <t>출처</t>
    </r>
    <r>
      <rPr>
        <i/>
        <sz val="9"/>
        <rFont val="Arial"/>
        <family val="2"/>
      </rPr>
      <t xml:space="preserve">: </t>
    </r>
    <r>
      <rPr>
        <i/>
        <sz val="9"/>
        <rFont val="Noto Sans CJK SC"/>
        <family val="2"/>
      </rPr>
      <t xml:space="preserve">기획서 </t>
    </r>
    <r>
      <rPr>
        <i/>
        <sz val="9"/>
        <rFont val="Arial"/>
        <family val="2"/>
      </rPr>
      <t>4·5·6</t>
    </r>
    <r>
      <rPr>
        <i/>
        <sz val="9"/>
        <rFont val="Noto Sans CJK SC"/>
        <family val="2"/>
      </rPr>
      <t>절 기본값</t>
    </r>
    <r>
      <rPr>
        <i/>
        <sz val="9"/>
        <rFont val="Arial"/>
        <family val="2"/>
      </rPr>
      <t xml:space="preserve">. </t>
    </r>
    <r>
      <rPr>
        <i/>
        <sz val="9"/>
        <rFont val="Noto Sans CJK SC"/>
        <family val="2"/>
      </rPr>
      <t xml:space="preserve">게임 코드의 </t>
    </r>
    <r>
      <rPr>
        <i/>
        <sz val="9"/>
        <rFont val="Arial"/>
        <family val="2"/>
      </rPr>
      <t>config</t>
    </r>
    <r>
      <rPr>
        <i/>
        <sz val="9"/>
        <rFont val="Noto Sans CJK SC"/>
        <family val="2"/>
      </rPr>
      <t>와 같은 값으로 유지합니다</t>
    </r>
    <r>
      <rPr>
        <i/>
        <sz val="9"/>
        <rFont val="Arial"/>
        <family val="2"/>
      </rPr>
      <t>.</t>
    </r>
  </si>
  <si>
    <t>구분</t>
  </si>
  <si>
    <t>지역 수</t>
  </si>
  <si>
    <r>
      <rPr>
        <b/>
        <sz val="10"/>
        <color rgb="FFFFFFFF"/>
        <rFont val="Noto Sans CJK SC"/>
        <family val="2"/>
      </rPr>
      <t>인구 합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만명</t>
    </r>
    <r>
      <rPr>
        <b/>
        <sz val="10"/>
        <color rgb="FFFFFFFF"/>
        <rFont val="Arial"/>
        <family val="2"/>
      </rPr>
      <t>)</t>
    </r>
  </si>
  <si>
    <t>농장 단계 합</t>
  </si>
  <si>
    <t>어장 단계 합</t>
  </si>
  <si>
    <t>공장 단계 합</t>
  </si>
  <si>
    <t>은행 단계 합</t>
  </si>
  <si>
    <r>
      <rPr>
        <b/>
        <sz val="10"/>
        <color rgb="FFFFFFFF"/>
        <rFont val="Noto Sans CJK SC"/>
        <family val="2"/>
      </rPr>
      <t>초기 산출 합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만원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턴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</si>
  <si>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식량 수지 합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턴</t>
    </r>
  </si>
  <si>
    <t>특산물 보유 지역</t>
  </si>
  <si>
    <t>합계</t>
  </si>
  <si>
    <t>남북 특산물 밀도</t>
  </si>
  <si>
    <r>
      <rPr>
        <sz val="10"/>
        <rFont val="Noto Sans CJK SC"/>
        <family val="2"/>
      </rPr>
      <t>남</t>
    </r>
    <r>
      <rPr>
        <sz val="10"/>
        <rFont val="Arial"/>
        <family val="2"/>
      </rPr>
      <t>:</t>
    </r>
    <r>
      <rPr>
        <sz val="10"/>
        <rFont val="Noto Sans CJK SC"/>
        <family val="2"/>
      </rPr>
      <t>북 비율</t>
    </r>
  </si>
  <si>
    <r>
      <rPr>
        <i/>
        <sz val="9"/>
        <rFont val="Noto Sans CJK SC"/>
        <family val="2"/>
      </rPr>
      <t>식량 수지 합이 양수면 시작 시점 전국 식량이 소비보다 많다는 뜻입니다</t>
    </r>
    <r>
      <rPr>
        <i/>
        <sz val="9"/>
        <rFont val="Arial"/>
        <family val="2"/>
      </rPr>
      <t>(</t>
    </r>
    <r>
      <rPr>
        <i/>
        <sz val="9"/>
        <rFont val="Noto Sans CJK SC"/>
        <family val="2"/>
      </rPr>
      <t>목표</t>
    </r>
    <r>
      <rPr>
        <i/>
        <sz val="9"/>
        <rFont val="Arial"/>
        <family val="2"/>
      </rPr>
      <t xml:space="preserve">: </t>
    </r>
    <r>
      <rPr>
        <i/>
        <sz val="9"/>
        <rFont val="Noto Sans CJK SC"/>
        <family val="2"/>
      </rPr>
      <t xml:space="preserve">소비의 약 </t>
    </r>
    <r>
      <rPr>
        <i/>
        <sz val="9"/>
        <rFont val="Arial"/>
        <family val="2"/>
      </rPr>
      <t>1.1</t>
    </r>
    <r>
      <rPr>
        <i/>
        <sz val="9"/>
        <rFont val="Noto Sans CJK SC"/>
        <family val="2"/>
      </rPr>
      <t>배</t>
    </r>
    <r>
      <rPr>
        <i/>
        <sz val="9"/>
        <rFont val="Arial"/>
        <family val="2"/>
      </rPr>
      <t>).</t>
    </r>
  </si>
  <si>
    <t>현재 광역 구성</t>
  </si>
  <si>
    <r>
      <rPr>
        <sz val="10"/>
        <rFont val="Noto Sans CJK SC"/>
        <family val="2"/>
      </rPr>
      <t>서울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인천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경기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황북 개성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장풍</t>
    </r>
  </si>
  <si>
    <r>
      <rPr>
        <sz val="10"/>
        <rFont val="Noto Sans CJK SC"/>
        <family val="2"/>
      </rPr>
      <t>충북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충남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대전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세종</t>
    </r>
  </si>
  <si>
    <r>
      <rPr>
        <sz val="10"/>
        <rFont val="Noto Sans CJK SC"/>
        <family val="2"/>
      </rPr>
      <t>전북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전남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광주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제주</t>
    </r>
  </si>
  <si>
    <r>
      <rPr>
        <sz val="10"/>
        <rFont val="Noto Sans CJK SC"/>
        <family val="2"/>
      </rPr>
      <t>경북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경남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부산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대구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울산</t>
    </r>
  </si>
  <si>
    <r>
      <rPr>
        <sz val="10"/>
        <rFont val="Noto Sans CJK SC"/>
        <family val="2"/>
      </rPr>
      <t>강원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북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</si>
  <si>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황북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개성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장풍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중화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상원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승호 제외</t>
    </r>
    <r>
      <rPr>
        <sz val="10"/>
        <rFont val="Arial"/>
        <family val="2"/>
      </rPr>
      <t>)·</t>
    </r>
    <r>
      <rPr>
        <sz val="10"/>
        <rFont val="Noto Sans CJK SC"/>
        <family val="2"/>
      </rPr>
      <t>황남</t>
    </r>
  </si>
  <si>
    <r>
      <rPr>
        <sz val="10"/>
        <rFont val="Noto Sans CJK SC"/>
        <family val="2"/>
      </rPr>
      <t>평양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남포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평북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평남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자강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황북 중화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상원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승호</t>
    </r>
  </si>
  <si>
    <r>
      <rPr>
        <sz val="10"/>
        <rFont val="Noto Sans CJK SC"/>
        <family val="2"/>
      </rPr>
      <t>함남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함북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양강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라선</t>
    </r>
  </si>
  <si>
    <r>
      <rPr>
        <i/>
        <sz val="9"/>
        <rFont val="Noto Sans CJK SC"/>
        <family val="2"/>
      </rPr>
      <t>랜드마크승리</t>
    </r>
    <r>
      <rPr>
        <i/>
        <sz val="9"/>
        <rFont val="Arial"/>
        <family val="2"/>
      </rPr>
      <t>: 8</t>
    </r>
    <r>
      <rPr>
        <i/>
        <sz val="9"/>
        <rFont val="Noto Sans CJK SC"/>
        <family val="2"/>
      </rPr>
      <t>도 모두에 랜드마크를 짓고</t>
    </r>
    <r>
      <rPr>
        <i/>
        <sz val="9"/>
        <rFont val="Arial"/>
        <family val="2"/>
      </rPr>
      <t xml:space="preserve">, </t>
    </r>
    <r>
      <rPr>
        <i/>
        <sz val="9"/>
        <rFont val="Noto Sans CJK SC"/>
        <family val="2"/>
      </rPr>
      <t>그중 하나는 자국 수도 구역이어야 합니다</t>
    </r>
    <r>
      <rPr>
        <i/>
        <sz val="9"/>
        <rFont val="Arial"/>
        <family val="2"/>
      </rPr>
      <t>.</t>
    </r>
  </si>
  <si>
    <t>해역</t>
  </si>
  <si>
    <t>범위</t>
  </si>
  <si>
    <t>인접 육지 타일 수</t>
  </si>
  <si>
    <t>해안선 점유 조건</t>
  </si>
  <si>
    <t>SEA1</t>
  </si>
  <si>
    <r>
      <rPr>
        <sz val="10"/>
        <rFont val="Arial"/>
        <family val="2"/>
      </rPr>
      <t xml:space="preserve">NLL </t>
    </r>
    <r>
      <rPr>
        <sz val="10"/>
        <rFont val="Noto Sans CJK SC"/>
        <family val="2"/>
      </rPr>
      <t>북쪽 서해</t>
    </r>
  </si>
  <si>
    <r>
      <rPr>
        <sz val="10"/>
        <rFont val="Noto Sans CJK SC"/>
        <family val="2"/>
      </rPr>
      <t xml:space="preserve">이 해역에 닿는 육지 타일을 모두 보유 → 어장 </t>
    </r>
    <r>
      <rPr>
        <sz val="10"/>
        <rFont val="Arial"/>
        <family val="2"/>
      </rPr>
      <t xml:space="preserve">+25%, </t>
    </r>
    <r>
      <rPr>
        <sz val="10"/>
        <rFont val="Noto Sans CJK SC"/>
        <family val="2"/>
      </rPr>
      <t xml:space="preserve">이 해역 해전 방어 </t>
    </r>
    <r>
      <rPr>
        <sz val="10"/>
        <rFont val="Arial"/>
        <family val="2"/>
      </rPr>
      <t>+25%</t>
    </r>
  </si>
  <si>
    <t>SEA2</t>
  </si>
  <si>
    <r>
      <rPr>
        <sz val="10"/>
        <rFont val="Arial"/>
        <family val="2"/>
      </rPr>
      <t xml:space="preserve">NLL </t>
    </r>
    <r>
      <rPr>
        <sz val="10"/>
        <rFont val="Noto Sans CJK SC"/>
        <family val="2"/>
      </rPr>
      <t xml:space="preserve">남쪽 서해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인천</t>
    </r>
    <r>
      <rPr>
        <sz val="10"/>
        <rFont val="Arial"/>
        <family val="2"/>
      </rPr>
      <t>~</t>
    </r>
    <r>
      <rPr>
        <sz val="10"/>
        <rFont val="Noto Sans CJK SC"/>
        <family val="2"/>
      </rPr>
      <t>전남 신안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</si>
  <si>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서북해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남서해</t>
    </r>
  </si>
  <si>
    <t>SEA3</t>
  </si>
  <si>
    <r>
      <rPr>
        <sz val="10"/>
        <rFont val="Noto Sans CJK SC"/>
        <family val="2"/>
      </rPr>
      <t>진도</t>
    </r>
    <r>
      <rPr>
        <sz val="10"/>
        <rFont val="Arial"/>
        <family val="2"/>
      </rPr>
      <t>~</t>
    </r>
    <r>
      <rPr>
        <sz val="10"/>
        <rFont val="Noto Sans CJK SC"/>
        <family val="2"/>
      </rPr>
      <t>광양</t>
    </r>
  </si>
  <si>
    <r>
      <rPr>
        <sz val="10"/>
        <rFont val="Noto Sans CJK SC"/>
        <family val="2"/>
      </rPr>
      <t>서남해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남동해</t>
    </r>
  </si>
  <si>
    <t>SEA4</t>
  </si>
  <si>
    <r>
      <rPr>
        <sz val="10"/>
        <rFont val="Noto Sans CJK SC"/>
        <family val="2"/>
      </rPr>
      <t>하동</t>
    </r>
    <r>
      <rPr>
        <sz val="10"/>
        <rFont val="Arial"/>
        <family val="2"/>
      </rPr>
      <t>~</t>
    </r>
    <r>
      <rPr>
        <sz val="10"/>
        <rFont val="Noto Sans CJK SC"/>
        <family val="2"/>
      </rPr>
      <t>부산</t>
    </r>
  </si>
  <si>
    <r>
      <rPr>
        <sz val="10"/>
        <rFont val="Noto Sans CJK SC"/>
        <family val="2"/>
      </rPr>
      <t>남서해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동남해</t>
    </r>
  </si>
  <si>
    <t>SEA5</t>
  </si>
  <si>
    <t>강원 고성 남쪽 동해</t>
  </si>
  <si>
    <r>
      <rPr>
        <sz val="10"/>
        <rFont val="Noto Sans CJK SC"/>
        <family val="2"/>
      </rPr>
      <t>남동해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동북해</t>
    </r>
  </si>
  <si>
    <t>SEA6</t>
  </si>
  <si>
    <t>강원 고성 북쪽 동해</t>
  </si>
  <si>
    <r>
      <rPr>
        <b/>
        <sz val="10"/>
        <color rgb="FFFFFFFF"/>
        <rFont val="Noto Sans CJK SC"/>
        <family val="2"/>
      </rPr>
      <t xml:space="preserve">구역 </t>
    </r>
    <r>
      <rPr>
        <b/>
        <sz val="10"/>
        <color rgb="FFFFFFFF"/>
        <rFont val="Arial"/>
        <family val="2"/>
      </rPr>
      <t>A</t>
    </r>
  </si>
  <si>
    <r>
      <rPr>
        <b/>
        <sz val="10"/>
        <color rgb="FFFFFFFF"/>
        <rFont val="Noto Sans CJK SC"/>
        <family val="2"/>
      </rPr>
      <t xml:space="preserve">구역 </t>
    </r>
    <r>
      <rPr>
        <b/>
        <sz val="10"/>
        <color rgb="FFFFFFFF"/>
        <rFont val="Arial"/>
        <family val="2"/>
      </rPr>
      <t>B</t>
    </r>
  </si>
  <si>
    <t>연결 수단</t>
  </si>
  <si>
    <t>규칙</t>
  </si>
  <si>
    <t>영종대교</t>
  </si>
  <si>
    <r>
      <rPr>
        <sz val="10"/>
        <rFont val="Noto Sans CJK SC"/>
        <family val="2"/>
      </rPr>
      <t>육상 인접으로 취급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보병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전차 이동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돌격 가능</t>
    </r>
    <r>
      <rPr>
        <sz val="10"/>
        <rFont val="Arial"/>
        <family val="2"/>
      </rPr>
      <t>)</t>
    </r>
  </si>
  <si>
    <t>인천대교</t>
  </si>
  <si>
    <r>
      <rPr>
        <sz val="10"/>
        <rFont val="Noto Sans CJK SC"/>
        <family val="2"/>
      </rPr>
      <t>강화대교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초지대교</t>
    </r>
  </si>
  <si>
    <t>거가대교</t>
  </si>
  <si>
    <r>
      <rPr>
        <sz val="10"/>
        <rFont val="Noto Sans CJK SC"/>
        <family val="2"/>
      </rPr>
      <t>거제대교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신거제대교</t>
    </r>
  </si>
  <si>
    <r>
      <rPr>
        <sz val="10"/>
        <rFont val="Noto Sans CJK SC"/>
        <family val="2"/>
      </rPr>
      <t>남해대교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노량대교</t>
    </r>
  </si>
  <si>
    <r>
      <rPr>
        <sz val="10"/>
        <rFont val="Noto Sans CJK SC"/>
        <family val="2"/>
      </rPr>
      <t>창선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삼천포대교</t>
    </r>
  </si>
  <si>
    <t>진도대교</t>
  </si>
  <si>
    <t>완도대교</t>
  </si>
  <si>
    <t>압해대교</t>
  </si>
  <si>
    <t>김대중대교</t>
  </si>
  <si>
    <r>
      <rPr>
        <sz val="10"/>
        <rFont val="Noto Sans CJK SC"/>
        <family val="2"/>
      </rPr>
      <t>여수</t>
    </r>
    <r>
      <rPr>
        <sz val="10"/>
        <rFont val="Arial"/>
        <family val="2"/>
      </rPr>
      <t>~</t>
    </r>
    <r>
      <rPr>
        <sz val="10"/>
        <rFont val="Noto Sans CJK SC"/>
        <family val="2"/>
      </rPr>
      <t>고흥 연륙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연도교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팔영대교 등</t>
    </r>
    <r>
      <rPr>
        <sz val="10"/>
        <rFont val="Arial"/>
        <family val="2"/>
      </rPr>
      <t>)</t>
    </r>
  </si>
  <si>
    <t>영도대교</t>
  </si>
  <si>
    <t>남항대교</t>
  </si>
  <si>
    <t>부산항대교</t>
  </si>
  <si>
    <t>새만금방조제</t>
  </si>
  <si>
    <r>
      <rPr>
        <sz val="10"/>
        <rFont val="Noto Sans CJK SC"/>
        <family val="2"/>
      </rPr>
      <t>비단섬 제방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확인 필요</t>
    </r>
    <r>
      <rPr>
        <sz val="10"/>
        <rFont val="Arial"/>
        <family val="2"/>
      </rPr>
      <t>)</t>
    </r>
  </si>
  <si>
    <r>
      <rPr>
        <i/>
        <sz val="9"/>
        <rFont val="Noto Sans CJK SC"/>
        <family val="2"/>
      </rPr>
      <t>무연륙 섬</t>
    </r>
    <r>
      <rPr>
        <i/>
        <sz val="9"/>
        <rFont val="Arial"/>
        <family val="2"/>
      </rPr>
      <t>(</t>
    </r>
    <r>
      <rPr>
        <i/>
        <sz val="9"/>
        <rFont val="Noto Sans CJK SC"/>
        <family val="2"/>
      </rPr>
      <t>울릉</t>
    </r>
    <r>
      <rPr>
        <i/>
        <sz val="9"/>
        <rFont val="Arial"/>
        <family val="2"/>
      </rPr>
      <t xml:space="preserve">, </t>
    </r>
    <r>
      <rPr>
        <i/>
        <sz val="9"/>
        <rFont val="Noto Sans CJK SC"/>
        <family val="2"/>
      </rPr>
      <t>제주</t>
    </r>
    <r>
      <rPr>
        <i/>
        <sz val="9"/>
        <rFont val="Arial"/>
        <family val="2"/>
      </rPr>
      <t xml:space="preserve">, </t>
    </r>
    <r>
      <rPr>
        <i/>
        <sz val="9"/>
        <rFont val="Noto Sans CJK SC"/>
        <family val="2"/>
      </rPr>
      <t>서귀포</t>
    </r>
    <r>
      <rPr>
        <i/>
        <sz val="9"/>
        <rFont val="Arial"/>
        <family val="2"/>
      </rPr>
      <t>)</t>
    </r>
    <r>
      <rPr>
        <i/>
        <sz val="9"/>
        <rFont val="Noto Sans CJK SC"/>
        <family val="2"/>
      </rPr>
      <t>은 해역을 통해서만 드나듭니다</t>
    </r>
    <r>
      <rPr>
        <i/>
        <sz val="9"/>
        <rFont val="Arial"/>
        <family val="2"/>
      </rPr>
      <t>.</t>
    </r>
  </si>
  <si>
    <t>열 설명</t>
  </si>
  <si>
    <r>
      <rPr>
        <b/>
        <sz val="10"/>
        <rFont val="Noto Sans CJK SC"/>
        <family val="2"/>
      </rPr>
      <t>인구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만명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</si>
  <si>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남한은 행정안전부 주민등록인구 </t>
    </r>
    <r>
      <rPr>
        <sz val="10"/>
        <rFont val="Arial"/>
        <family val="2"/>
      </rPr>
      <t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월 말</t>
    </r>
    <r>
      <rPr>
        <sz val="10"/>
        <rFont val="Arial"/>
        <family val="2"/>
      </rPr>
      <t>(0.1</t>
    </r>
    <r>
      <rPr>
        <sz val="10"/>
        <rFont val="Noto Sans CJK SC"/>
        <family val="2"/>
      </rPr>
      <t>만 단위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 xml:space="preserve">북한은 </t>
    </r>
    <r>
      <rPr>
        <sz val="10"/>
        <rFont val="Arial"/>
        <family val="2"/>
      </rPr>
      <t xml:space="preserve">2008 </t>
    </r>
    <r>
      <rPr>
        <sz val="10"/>
        <rFont val="Noto Sans CJK SC"/>
        <family val="2"/>
      </rPr>
      <t xml:space="preserve">센서스 </t>
    </r>
    <r>
      <rPr>
        <sz val="10"/>
        <rFont val="Arial"/>
        <family val="2"/>
      </rPr>
      <t xml:space="preserve">× 1.5. </t>
    </r>
    <r>
      <rPr>
        <sz val="10"/>
        <rFont val="Noto Sans CJK SC"/>
        <family val="2"/>
      </rPr>
      <t>강원 고성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철원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황남 옹진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옛 인천 옹진 포함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은 남북 합산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</si>
  <si>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광역 두 글자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공백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기초 이름과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군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구역 접미사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세종은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세종시</t>
    </r>
    <r>
      <rPr>
        <sz val="10"/>
        <rFont val="Arial"/>
        <family val="2"/>
      </rPr>
      <t>".</t>
    </r>
  </si>
  <si>
    <r>
      <rPr>
        <b/>
        <sz val="10"/>
        <rFont val="Noto Sans CJK SC"/>
        <family val="2"/>
      </rPr>
      <t xml:space="preserve">조선 </t>
    </r>
    <r>
      <rPr>
        <b/>
        <sz val="10"/>
        <rFont val="Arial"/>
        <family val="2"/>
      </rPr>
      <t>8</t>
    </r>
    <r>
      <rPr>
        <b/>
        <sz val="10"/>
        <rFont val="Noto Sans CJK SC"/>
        <family val="2"/>
      </rPr>
      <t>도</t>
    </r>
  </si>
  <si>
    <r>
      <rPr>
        <sz val="10"/>
        <rFont val="Noto Sans CJK SC"/>
        <family val="2"/>
      </rPr>
      <t>랜드마크승리 판정용 구분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개성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장풍은 경기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중화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상원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승호는 평안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제주는 전라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양강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라선은 함경</t>
    </r>
    <r>
      <rPr>
        <sz val="10"/>
        <rFont val="Arial"/>
        <family val="2"/>
      </rPr>
      <t>.</t>
    </r>
  </si>
  <si>
    <r>
      <rPr>
        <b/>
        <sz val="10"/>
        <rFont val="Noto Sans CJK SC"/>
        <family val="2"/>
      </rPr>
      <t xml:space="preserve">섬 구분 </t>
    </r>
    <r>
      <rPr>
        <b/>
        <sz val="10"/>
        <rFont val="Arial"/>
        <family val="2"/>
      </rPr>
      <t xml:space="preserve">/ </t>
    </r>
    <r>
      <rPr>
        <b/>
        <sz val="10"/>
        <rFont val="Noto Sans CJK SC"/>
        <family val="2"/>
      </rPr>
      <t>시작 항구</t>
    </r>
  </si>
  <si>
    <r>
      <rPr>
        <sz val="10"/>
        <rFont val="Noto Sans CJK SC"/>
        <family val="2"/>
      </rPr>
      <t>연륙 섬은 인접 예외 시트의 다리로 육지처럼 이동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무연륙 섬은 항구를 기본 보유하고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이곳에서 시작하는 세력은 상륙함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척을 추가로 받음</t>
    </r>
    <r>
      <rPr>
        <sz val="10"/>
        <rFont val="Arial"/>
        <family val="2"/>
      </rPr>
      <t>.</t>
    </r>
  </si>
  <si>
    <r>
      <rPr>
        <b/>
        <sz val="10"/>
        <rFont val="Noto Sans CJK SC"/>
        <family val="2"/>
      </rPr>
      <t>농장</t>
    </r>
    <r>
      <rPr>
        <b/>
        <sz val="10"/>
        <rFont val="Arial"/>
        <family val="2"/>
      </rPr>
      <t>·</t>
    </r>
    <r>
      <rPr>
        <b/>
        <sz val="10"/>
        <rFont val="Noto Sans CJK SC"/>
        <family val="2"/>
      </rPr>
      <t>어장</t>
    </r>
    <r>
      <rPr>
        <b/>
        <sz val="10"/>
        <rFont val="Arial"/>
        <family val="2"/>
      </rPr>
      <t>·</t>
    </r>
    <r>
      <rPr>
        <b/>
        <sz val="10"/>
        <rFont val="Noto Sans CJK SC"/>
        <family val="2"/>
      </rPr>
      <t>공장</t>
    </r>
    <r>
      <rPr>
        <b/>
        <sz val="10"/>
        <rFont val="Arial"/>
        <family val="2"/>
      </rPr>
      <t>·</t>
    </r>
    <r>
      <rPr>
        <b/>
        <sz val="10"/>
        <rFont val="Noto Sans CJK SC"/>
        <family val="2"/>
      </rPr>
      <t>은행</t>
    </r>
  </si>
  <si>
    <r>
      <rPr>
        <sz val="10"/>
        <rFont val="Noto Sans CJK SC"/>
        <family val="2"/>
      </rPr>
      <t xml:space="preserve">시작 단계 </t>
    </r>
    <r>
      <rPr>
        <sz val="10"/>
        <rFont val="Arial"/>
        <family val="2"/>
      </rPr>
      <t>0~2. 1</t>
    </r>
    <r>
      <rPr>
        <sz val="10"/>
        <rFont val="Noto Sans CJK SC"/>
        <family val="2"/>
      </rPr>
      <t>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농장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어장</t>
    </r>
    <r>
      <rPr>
        <sz val="10"/>
        <rFont val="Arial"/>
        <family val="2"/>
      </rPr>
      <t>)·2</t>
    </r>
    <r>
      <rPr>
        <sz val="10"/>
        <rFont val="Noto Sans CJK SC"/>
        <family val="2"/>
      </rPr>
      <t>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공장</t>
    </r>
    <r>
      <rPr>
        <sz val="10"/>
        <rFont val="Arial"/>
        <family val="2"/>
      </rPr>
      <t>)·3</t>
    </r>
    <r>
      <rPr>
        <sz val="10"/>
        <rFont val="Noto Sans CJK SC"/>
        <family val="2"/>
      </rPr>
      <t>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은행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산업 비중 기반 분류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어장은 해안 지역만 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>이상</t>
    </r>
    <r>
      <rPr>
        <sz val="10"/>
        <rFont val="Arial"/>
        <family val="2"/>
      </rPr>
      <t>.</t>
    </r>
  </si>
  <si>
    <r>
      <rPr>
        <b/>
        <sz val="10"/>
        <rFont val="Noto Sans CJK SC"/>
        <family val="2"/>
      </rPr>
      <t xml:space="preserve">정유 </t>
    </r>
    <r>
      <rPr>
        <b/>
        <sz val="10"/>
        <rFont val="Arial"/>
        <family val="2"/>
      </rPr>
      <t xml:space="preserve">/ </t>
    </r>
    <r>
      <rPr>
        <b/>
        <sz val="10"/>
        <rFont val="Noto Sans CJK SC"/>
        <family val="2"/>
      </rPr>
      <t xml:space="preserve">탄광 </t>
    </r>
    <r>
      <rPr>
        <b/>
        <sz val="10"/>
        <rFont val="Arial"/>
        <family val="2"/>
      </rPr>
      <t xml:space="preserve">/ </t>
    </r>
    <r>
      <rPr>
        <b/>
        <sz val="10"/>
        <rFont val="Noto Sans CJK SC"/>
        <family val="2"/>
      </rPr>
      <t>자체발전</t>
    </r>
  </si>
  <si>
    <r>
      <rPr>
        <sz val="10"/>
        <rFont val="Noto Sans CJK SC"/>
        <family val="2"/>
      </rPr>
      <t>시작 산출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턴당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 xml:space="preserve">정유 </t>
    </r>
    <r>
      <rPr>
        <sz val="10"/>
        <rFont val="Arial"/>
        <family val="2"/>
      </rPr>
      <t>7</t>
    </r>
    <r>
      <rPr>
        <sz val="10"/>
        <rFont val="Noto Sans CJK SC"/>
        <family val="2"/>
      </rPr>
      <t>곳은 원안 지정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탄광은 현존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과거 주요 탄전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자체발전은 원전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대형 수력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</si>
  <si>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남한은 지역 대표 농수산물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북한은 알려진 특산물에 더해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남북 밀도를 </t>
    </r>
    <r>
      <rPr>
        <sz val="10"/>
        <rFont val="Arial"/>
        <family val="2"/>
      </rPr>
      <t xml:space="preserve">1.5:1 </t>
    </r>
    <r>
      <rPr>
        <sz val="10"/>
        <rFont val="Noto Sans CJK SC"/>
        <family val="2"/>
      </rPr>
      <t>수준으로 맞추려고 지형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기후 기반 게임용 배정을 추가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비고 열 표시</t>
    </r>
    <r>
      <rPr>
        <sz val="10"/>
        <rFont val="Arial"/>
        <family val="2"/>
      </rPr>
      <t>).</t>
    </r>
  </si>
  <si>
    <t>공식 열</t>
  </si>
  <si>
    <r>
      <rPr>
        <sz val="10"/>
        <rFont val="Noto Sans CJK SC"/>
        <family val="2"/>
      </rPr>
      <t>설정 시트 상수를 참조하는 수식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설정 값을 바꾸면 자동 재계산</t>
    </r>
    <r>
      <rPr>
        <sz val="10"/>
        <rFont val="Arial"/>
        <family val="2"/>
      </rPr>
      <t>.</t>
    </r>
  </si>
  <si>
    <t>출처</t>
  </si>
  <si>
    <t>남한 인구</t>
  </si>
  <si>
    <r>
      <rPr>
        <sz val="10"/>
        <rFont val="Noto Sans CJK SC"/>
        <family val="2"/>
      </rPr>
      <t xml:space="preserve">행정안전부 주민등록인구통계 </t>
    </r>
    <r>
      <rPr>
        <sz val="10"/>
        <rFont val="Arial"/>
        <family val="2"/>
      </rPr>
      <t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>8</t>
    </r>
    <r>
      <rPr>
        <sz val="10"/>
        <rFont val="Noto Sans CJK SC"/>
        <family val="2"/>
      </rPr>
      <t xml:space="preserve">월 말 기준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나무위키 「기초자치단체 인구 순위」 </t>
    </r>
    <r>
      <rPr>
        <sz val="10"/>
        <rFont val="Arial"/>
        <family val="2"/>
      </rPr>
      <t xml:space="preserve">2026-09-12 </t>
    </r>
    <r>
      <rPr>
        <sz val="10"/>
        <rFont val="Noto Sans CJK SC"/>
        <family val="2"/>
      </rPr>
      <t>수정본 정리값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합계 </t>
    </r>
    <r>
      <rPr>
        <sz val="10"/>
        <rFont val="Arial"/>
        <family val="2"/>
      </rPr>
      <t>51,084,159</t>
    </r>
    <r>
      <rPr>
        <sz val="10"/>
        <rFont val="Noto Sans CJK SC"/>
        <family val="2"/>
      </rPr>
      <t>명</t>
    </r>
    <r>
      <rPr>
        <sz val="10"/>
        <rFont val="Arial"/>
        <family val="2"/>
      </rPr>
      <t>). https://namu.wiki/w/</t>
    </r>
    <r>
      <rPr>
        <sz val="10"/>
        <rFont val="Noto Sans CJK SC"/>
        <family val="2"/>
      </rPr>
      <t>기초자치단체 인구 순위</t>
    </r>
  </si>
  <si>
    <t>북한 인구</t>
  </si>
  <si>
    <r>
      <rPr>
        <sz val="10"/>
        <rFont val="Arial"/>
        <family val="2"/>
      </rPr>
      <t xml:space="preserve">DPR Korea Central Bureau of Statistics, 2008 Population Census National Report (2009), Table 2 — https://dprkorea.un.org/sites/default/files/2019-07/Census-2008.pdf. </t>
    </r>
    <r>
      <rPr>
        <sz val="10"/>
        <rFont val="Noto Sans CJK SC"/>
        <family val="2"/>
      </rPr>
      <t xml:space="preserve">라선은 원자료가 시 합계뿐이라 라진 </t>
    </r>
    <r>
      <rPr>
        <sz val="10"/>
        <rFont val="Arial"/>
        <family val="2"/>
      </rPr>
      <t>60%·</t>
    </r>
    <r>
      <rPr>
        <sz val="10"/>
        <rFont val="Noto Sans CJK SC"/>
        <family val="2"/>
      </rPr>
      <t xml:space="preserve">선봉 </t>
    </r>
    <r>
      <rPr>
        <sz val="10"/>
        <rFont val="Arial"/>
        <family val="2"/>
      </rPr>
      <t>40%</t>
    </r>
    <r>
      <rPr>
        <sz val="10"/>
        <rFont val="Noto Sans CJK SC"/>
        <family val="2"/>
      </rPr>
      <t>로 추정 분할</t>
    </r>
    <r>
      <rPr>
        <sz val="10"/>
        <rFont val="Arial"/>
        <family val="2"/>
      </rPr>
      <t>.</t>
    </r>
  </si>
  <si>
    <t>행정구역 기준</t>
  </si>
  <si>
    <r>
      <rPr>
        <sz val="10"/>
        <rFont val="Noto Sans CJK SC"/>
        <family val="2"/>
      </rPr>
      <t xml:space="preserve">남한 </t>
    </r>
    <r>
      <rPr>
        <sz val="10"/>
        <rFont val="Arial"/>
        <family val="2"/>
      </rPr>
      <t>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>9</t>
    </r>
    <r>
      <rPr>
        <sz val="10"/>
        <rFont val="Noto Sans CJK SC"/>
        <family val="2"/>
      </rPr>
      <t>월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인천 제물포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영종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서해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검단구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대구 군위군 포함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광주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전남은 전남광주통합특별시로 통합됐으나 표기 접두어는 광주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전남으로 유지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기획서 확인 사항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>북한</t>
    </r>
    <r>
      <rPr>
        <sz val="10"/>
        <rFont val="Arial"/>
        <family val="2"/>
      </rPr>
      <t>: 2010</t>
    </r>
    <r>
      <rPr>
        <sz val="10"/>
        <rFont val="Noto Sans CJK SC"/>
        <family val="2"/>
      </rPr>
      <t>년 평양 축소 이후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남포특별시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라선특별시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라진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선봉구역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청진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함흥은 구역 합산</t>
    </r>
    <r>
      <rPr>
        <sz val="10"/>
        <rFont val="Arial"/>
        <family val="2"/>
      </rPr>
      <t>.</t>
    </r>
  </si>
  <si>
    <r>
      <rPr>
        <sz val="10"/>
        <rFont val="맑은 고딕"/>
        <family val="3"/>
        <charset val="129"/>
      </rPr>
      <t>공동어시장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고등어</t>
    </r>
    <phoneticPr fontId="13" type="noConversion"/>
  </si>
  <si>
    <r>
      <rPr>
        <sz val="10"/>
        <rFont val="맑은 고딕"/>
        <family val="3"/>
        <charset val="129"/>
      </rPr>
      <t>강화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화문석</t>
    </r>
    <phoneticPr fontId="13" type="noConversion"/>
  </si>
  <si>
    <t>언양 불고기</t>
    <phoneticPr fontId="13" type="noConversion"/>
  </si>
  <si>
    <r>
      <rPr>
        <sz val="10"/>
        <rFont val="맑은 고딕"/>
        <family val="3"/>
        <charset val="129"/>
      </rPr>
      <t>안성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유기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</si>
</sst>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#,##0;\(#,##0\);\-"/>
    <numFmt numFmtId="178" formatCode="#,##0.0"/>
    <numFmt numFmtId="179" formatCode="0.0%"/>
  </numFmts>
  <fonts count="17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10"/>
      <color rgb="FF0000FF"/>
      <name val="Arial"/>
      <family val="2"/>
    </font>
    <font>
      <b/>
      <sz val="11"/>
      <name val="Noto Sans CJK SC"/>
      <family val="2"/>
    </font>
    <font>
      <b/>
      <sz val="11"/>
      <name val="Arial"/>
      <family val="2"/>
    </font>
    <font>
      <i/>
      <sz val="9"/>
      <name val="Noto Sans CJK SC"/>
      <family val="2"/>
    </font>
    <font>
      <i/>
      <sz val="9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Noto Sans CJK S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3EEF9"/>
        <bgColor rgb="FFEEF3FA"/>
      </patternFill>
    </fill>
    <fill>
      <patternFill patternType="solid">
        <fgColor rgb="FFEEF3FA"/>
        <bgColor rgb="FFF3EEF9"/>
      </patternFill>
    </fill>
    <fill>
      <patternFill patternType="solid">
        <fgColor rgb="FFFFF2CC"/>
        <bgColor rgb="FFF3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76" fontId="3" fillId="0" borderId="0" xfId="0" applyNumberFormat="1" applyFont="1"/>
    <xf numFmtId="0" fontId="5" fillId="0" borderId="0" xfId="0" applyFont="1"/>
    <xf numFmtId="177" fontId="3" fillId="0" borderId="0" xfId="0" applyNumberFormat="1" applyFont="1"/>
    <xf numFmtId="0" fontId="3" fillId="3" borderId="0" xfId="0" applyFont="1" applyFill="1"/>
    <xf numFmtId="0" fontId="4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6" fillId="0" borderId="0" xfId="0" applyFont="1"/>
    <xf numFmtId="0" fontId="2" fillId="2" borderId="0" xfId="0" applyFont="1" applyFill="1"/>
    <xf numFmtId="0" fontId="5" fillId="5" borderId="0" xfId="0" applyFont="1" applyFill="1"/>
    <xf numFmtId="3" fontId="5" fillId="5" borderId="0" xfId="0" applyNumberFormat="1" applyFont="1" applyFill="1"/>
    <xf numFmtId="2" fontId="5" fillId="5" borderId="0" xfId="0" applyNumberFormat="1" applyFont="1" applyFill="1"/>
    <xf numFmtId="10" fontId="5" fillId="5" borderId="0" xfId="0" applyNumberFormat="1" applyFont="1" applyFill="1"/>
    <xf numFmtId="3" fontId="3" fillId="0" borderId="0" xfId="0" applyNumberFormat="1" applyFont="1"/>
    <xf numFmtId="0" fontId="8" fillId="0" borderId="0" xfId="0" applyFont="1"/>
    <xf numFmtId="178" fontId="3" fillId="0" borderId="0" xfId="0" applyNumberFormat="1" applyFont="1"/>
    <xf numFmtId="0" fontId="10" fillId="0" borderId="0" xfId="0" applyFont="1"/>
    <xf numFmtId="177" fontId="11" fillId="0" borderId="0" xfId="0" applyNumberFormat="1" applyFont="1"/>
    <xf numFmtId="179" fontId="0" fillId="0" borderId="0" xfId="0" applyNumberFormat="1"/>
    <xf numFmtId="2" fontId="0" fillId="0" borderId="0" xfId="0" applyNumberForma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E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W96" sqref="W96"/>
    </sheetView>
  </sheetViews>
  <sheetFormatPr defaultColWidth="8.6640625" defaultRowHeight="14.25"/>
  <cols>
    <col min="1" max="1" width="7" customWidth="1"/>
    <col min="2" max="2" width="15" customWidth="1"/>
    <col min="3" max="3" width="6" customWidth="1"/>
    <col min="4" max="4" width="9" customWidth="1"/>
    <col min="5" max="5" width="34" customWidth="1"/>
    <col min="6" max="6" width="7" customWidth="1"/>
    <col min="7" max="7" width="8" customWidth="1"/>
    <col min="8" max="8" width="10" customWidth="1"/>
    <col min="9" max="9" width="20" customWidth="1"/>
    <col min="10" max="10" width="22" customWidth="1"/>
    <col min="11" max="11" width="5" customWidth="1"/>
    <col min="12" max="12" width="14" customWidth="1"/>
    <col min="13" max="13" width="9" customWidth="1"/>
    <col min="14" max="14" width="8" customWidth="1"/>
    <col min="15" max="18" width="6" customWidth="1"/>
    <col min="19" max="20" width="10" customWidth="1"/>
    <col min="21" max="21" width="12" customWidth="1"/>
    <col min="22" max="22" width="26" customWidth="1"/>
    <col min="23" max="23" width="15" customWidth="1"/>
    <col min="24" max="24" width="13" customWidth="1"/>
    <col min="25" max="27" width="11" customWidth="1"/>
    <col min="28" max="28" width="30" customWidth="1"/>
  </cols>
  <sheetData>
    <row r="1" spans="1:28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3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5">
        <v>64.900000000000006</v>
      </c>
      <c r="I2" s="3" t="s">
        <v>35</v>
      </c>
      <c r="J2" s="3" t="s">
        <v>36</v>
      </c>
      <c r="K2" s="3" t="s">
        <v>37</v>
      </c>
      <c r="L2" s="3"/>
      <c r="M2" s="3"/>
      <c r="N2" s="3"/>
      <c r="O2" s="6">
        <v>0</v>
      </c>
      <c r="P2" s="6">
        <v>0</v>
      </c>
      <c r="Q2" s="6">
        <v>0</v>
      </c>
      <c r="R2" s="6">
        <v>2</v>
      </c>
      <c r="S2" s="6">
        <v>0</v>
      </c>
      <c r="T2" s="6">
        <v>0</v>
      </c>
      <c r="U2" s="6">
        <v>0</v>
      </c>
      <c r="V2" s="3"/>
      <c r="W2" s="3"/>
      <c r="X2" s="7">
        <f>설정!$B$4*H2+설정!$B$5*O2*(1+설정!$B$9*(O2-1))+설정!$B$6*P2*(1+설정!$B$9*(P2-1))+설정!$B$7*Q2*(1+설정!$B$9*(Q2-1))+설정!$B$8*R2*(1+설정!$B$9*(R2-1))</f>
        <v>3387</v>
      </c>
      <c r="Y2" s="7">
        <f>설정!$B$10*(O2*(1+설정!$B$9*(O2-1))+P2*(1+설정!$B$9*(P2-1)))</f>
        <v>0</v>
      </c>
      <c r="Z2" s="7">
        <f t="shared" ref="Z2:Z65" si="0">Y2-H2</f>
        <v>-64.900000000000006</v>
      </c>
      <c r="AA2" s="7">
        <f>X2*설정!$B$11</f>
        <v>338.70000000000005</v>
      </c>
      <c r="AB2" s="3"/>
    </row>
    <row r="3" spans="1:28">
      <c r="A3" s="3" t="s">
        <v>38</v>
      </c>
      <c r="B3" s="4" t="s">
        <v>39</v>
      </c>
      <c r="C3" s="4" t="s">
        <v>30</v>
      </c>
      <c r="D3" s="4" t="s">
        <v>31</v>
      </c>
      <c r="E3" s="4" t="s">
        <v>40</v>
      </c>
      <c r="F3" s="4" t="s">
        <v>33</v>
      </c>
      <c r="G3" s="4" t="s">
        <v>34</v>
      </c>
      <c r="H3" s="5">
        <v>55.2</v>
      </c>
      <c r="I3" s="3" t="s">
        <v>41</v>
      </c>
      <c r="J3" s="3" t="s">
        <v>36</v>
      </c>
      <c r="K3" s="3" t="s">
        <v>37</v>
      </c>
      <c r="L3" s="3"/>
      <c r="M3" s="3"/>
      <c r="N3" s="3"/>
      <c r="O3" s="6">
        <v>0</v>
      </c>
      <c r="P3" s="6">
        <v>0</v>
      </c>
      <c r="Q3" s="6">
        <v>0</v>
      </c>
      <c r="R3" s="6">
        <v>2</v>
      </c>
      <c r="S3" s="6">
        <v>0</v>
      </c>
      <c r="T3" s="6">
        <v>0</v>
      </c>
      <c r="U3" s="6">
        <v>0</v>
      </c>
      <c r="V3" s="3"/>
      <c r="W3" s="3"/>
      <c r="X3" s="7">
        <f>설정!$B$4*H3+설정!$B$5*O3*(1+설정!$B$9*(O3-1))+설정!$B$6*P3*(1+설정!$B$9*(P3-1))+설정!$B$7*Q3*(1+설정!$B$9*(Q3-1))+설정!$B$8*R3*(1+설정!$B$9*(R3-1))</f>
        <v>3096</v>
      </c>
      <c r="Y3" s="7">
        <f>설정!$B$10*(O3*(1+설정!$B$9*(O3-1))+P3*(1+설정!$B$9*(P3-1)))</f>
        <v>0</v>
      </c>
      <c r="Z3" s="7">
        <f t="shared" si="0"/>
        <v>-55.2</v>
      </c>
      <c r="AA3" s="7">
        <f>X3*설정!$B$11</f>
        <v>309.60000000000002</v>
      </c>
      <c r="AB3" s="3"/>
    </row>
    <row r="4" spans="1:28">
      <c r="A4" s="3" t="s">
        <v>42</v>
      </c>
      <c r="B4" s="4" t="s">
        <v>43</v>
      </c>
      <c r="C4" s="4" t="s">
        <v>30</v>
      </c>
      <c r="D4" s="4" t="s">
        <v>31</v>
      </c>
      <c r="E4" s="4" t="s">
        <v>44</v>
      </c>
      <c r="F4" s="4" t="s">
        <v>33</v>
      </c>
      <c r="G4" s="4" t="s">
        <v>34</v>
      </c>
      <c r="H4" s="5">
        <v>54.8</v>
      </c>
      <c r="I4" s="3" t="s">
        <v>45</v>
      </c>
      <c r="J4" s="3" t="s">
        <v>36</v>
      </c>
      <c r="K4" s="3" t="s">
        <v>37</v>
      </c>
      <c r="L4" s="3"/>
      <c r="M4" s="3"/>
      <c r="N4" s="3"/>
      <c r="O4" s="6">
        <v>0</v>
      </c>
      <c r="P4" s="6">
        <v>0</v>
      </c>
      <c r="Q4" s="6">
        <v>0</v>
      </c>
      <c r="R4" s="6">
        <v>1</v>
      </c>
      <c r="S4" s="6">
        <v>0</v>
      </c>
      <c r="T4" s="6">
        <v>0</v>
      </c>
      <c r="U4" s="6">
        <v>0</v>
      </c>
      <c r="V4" s="3"/>
      <c r="W4" s="3"/>
      <c r="X4" s="7">
        <f>설정!$B$4*H4+설정!$B$5*O4*(1+설정!$B$9*(O4-1))+설정!$B$6*P4*(1+설정!$B$9*(P4-1))+설정!$B$7*Q4*(1+설정!$B$9*(Q4-1))+설정!$B$8*R4*(1+설정!$B$9*(R4-1))</f>
        <v>2244</v>
      </c>
      <c r="Y4" s="7">
        <f>설정!$B$10*(O4*(1+설정!$B$9*(O4-1))+P4*(1+설정!$B$9*(P4-1)))</f>
        <v>0</v>
      </c>
      <c r="Z4" s="7">
        <f t="shared" si="0"/>
        <v>-54.8</v>
      </c>
      <c r="AA4" s="7">
        <f>X4*설정!$B$11</f>
        <v>224.4</v>
      </c>
      <c r="AB4" s="3"/>
    </row>
    <row r="5" spans="1:28">
      <c r="A5" s="3" t="s">
        <v>46</v>
      </c>
      <c r="B5" s="4" t="s">
        <v>47</v>
      </c>
      <c r="C5" s="4" t="s">
        <v>30</v>
      </c>
      <c r="D5" s="4" t="s">
        <v>31</v>
      </c>
      <c r="E5" s="4" t="s">
        <v>48</v>
      </c>
      <c r="F5" s="4" t="s">
        <v>33</v>
      </c>
      <c r="G5" s="4" t="s">
        <v>34</v>
      </c>
      <c r="H5" s="5">
        <v>49.8</v>
      </c>
      <c r="I5" s="3" t="s">
        <v>49</v>
      </c>
      <c r="J5" s="3" t="s">
        <v>36</v>
      </c>
      <c r="K5" s="3" t="s">
        <v>37</v>
      </c>
      <c r="L5" s="3"/>
      <c r="M5" s="3"/>
      <c r="N5" s="3"/>
      <c r="O5" s="6">
        <v>0</v>
      </c>
      <c r="P5" s="6">
        <v>0</v>
      </c>
      <c r="Q5" s="6">
        <v>0</v>
      </c>
      <c r="R5" s="6">
        <v>1</v>
      </c>
      <c r="S5" s="6">
        <v>0</v>
      </c>
      <c r="T5" s="6">
        <v>0</v>
      </c>
      <c r="U5" s="6">
        <v>0</v>
      </c>
      <c r="V5" s="3"/>
      <c r="W5" s="3"/>
      <c r="X5" s="7">
        <f>설정!$B$4*H5+설정!$B$5*O5*(1+설정!$B$9*(O5-1))+설정!$B$6*P5*(1+설정!$B$9*(P5-1))+설정!$B$7*Q5*(1+설정!$B$9*(Q5-1))+설정!$B$8*R5*(1+설정!$B$9*(R5-1))</f>
        <v>2094</v>
      </c>
      <c r="Y5" s="7">
        <f>설정!$B$10*(O5*(1+설정!$B$9*(O5-1))+P5*(1+설정!$B$9*(P5-1)))</f>
        <v>0</v>
      </c>
      <c r="Z5" s="7">
        <f t="shared" si="0"/>
        <v>-49.8</v>
      </c>
      <c r="AA5" s="7">
        <f>X5*설정!$B$11</f>
        <v>209.4</v>
      </c>
      <c r="AB5" s="3"/>
    </row>
    <row r="6" spans="1:28">
      <c r="A6" s="3" t="s">
        <v>50</v>
      </c>
      <c r="B6" s="4" t="s">
        <v>51</v>
      </c>
      <c r="C6" s="4" t="s">
        <v>30</v>
      </c>
      <c r="D6" s="4" t="s">
        <v>31</v>
      </c>
      <c r="E6" s="4" t="s">
        <v>52</v>
      </c>
      <c r="F6" s="4" t="s">
        <v>33</v>
      </c>
      <c r="G6" s="4" t="s">
        <v>34</v>
      </c>
      <c r="H6" s="5">
        <v>48</v>
      </c>
      <c r="I6" s="3" t="s">
        <v>53</v>
      </c>
      <c r="J6" s="3" t="s">
        <v>36</v>
      </c>
      <c r="K6" s="3" t="s">
        <v>37</v>
      </c>
      <c r="L6" s="3"/>
      <c r="M6" s="3"/>
      <c r="N6" s="3"/>
      <c r="O6" s="6">
        <v>0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3"/>
      <c r="W6" s="3"/>
      <c r="X6" s="7">
        <f>설정!$B$4*H6+설정!$B$5*O6*(1+설정!$B$9*(O6-1))+설정!$B$6*P6*(1+설정!$B$9*(P6-1))+설정!$B$7*Q6*(1+설정!$B$9*(Q6-1))+설정!$B$8*R6*(1+설정!$B$9*(R6-1))</f>
        <v>2040</v>
      </c>
      <c r="Y6" s="7">
        <f>설정!$B$10*(O6*(1+설정!$B$9*(O6-1))+P6*(1+설정!$B$9*(P6-1)))</f>
        <v>0</v>
      </c>
      <c r="Z6" s="7">
        <f t="shared" si="0"/>
        <v>-48</v>
      </c>
      <c r="AA6" s="7">
        <f>X6*설정!$B$11</f>
        <v>204</v>
      </c>
      <c r="AB6" s="3"/>
    </row>
    <row r="7" spans="1:28">
      <c r="A7" s="3" t="s">
        <v>54</v>
      </c>
      <c r="B7" s="4" t="s">
        <v>55</v>
      </c>
      <c r="C7" s="4" t="s">
        <v>30</v>
      </c>
      <c r="D7" s="4" t="s">
        <v>31</v>
      </c>
      <c r="E7" s="4" t="s">
        <v>56</v>
      </c>
      <c r="F7" s="4" t="s">
        <v>33</v>
      </c>
      <c r="G7" s="4" t="s">
        <v>34</v>
      </c>
      <c r="H7" s="5">
        <v>47.7</v>
      </c>
      <c r="I7" s="3" t="s">
        <v>57</v>
      </c>
      <c r="J7" s="3" t="s">
        <v>36</v>
      </c>
      <c r="K7" s="3" t="s">
        <v>37</v>
      </c>
      <c r="L7" s="3"/>
      <c r="M7" s="3"/>
      <c r="N7" s="3"/>
      <c r="O7" s="6">
        <v>0</v>
      </c>
      <c r="P7" s="6">
        <v>0</v>
      </c>
      <c r="Q7" s="6">
        <v>0</v>
      </c>
      <c r="R7" s="6">
        <v>1</v>
      </c>
      <c r="S7" s="6">
        <v>0</v>
      </c>
      <c r="T7" s="6">
        <v>0</v>
      </c>
      <c r="U7" s="6">
        <v>0</v>
      </c>
      <c r="V7" s="3"/>
      <c r="W7" s="3"/>
      <c r="X7" s="7">
        <f>설정!$B$4*H7+설정!$B$5*O7*(1+설정!$B$9*(O7-1))+설정!$B$6*P7*(1+설정!$B$9*(P7-1))+설정!$B$7*Q7*(1+설정!$B$9*(Q7-1))+설정!$B$8*R7*(1+설정!$B$9*(R7-1))</f>
        <v>2031</v>
      </c>
      <c r="Y7" s="7">
        <f>설정!$B$10*(O7*(1+설정!$B$9*(O7-1))+P7*(1+설정!$B$9*(P7-1)))</f>
        <v>0</v>
      </c>
      <c r="Z7" s="7">
        <f t="shared" si="0"/>
        <v>-47.7</v>
      </c>
      <c r="AA7" s="7">
        <f>X7*설정!$B$11</f>
        <v>203.10000000000002</v>
      </c>
      <c r="AB7" s="3"/>
    </row>
    <row r="8" spans="1:28">
      <c r="A8" s="3" t="s">
        <v>58</v>
      </c>
      <c r="B8" s="4" t="s">
        <v>59</v>
      </c>
      <c r="C8" s="4" t="s">
        <v>30</v>
      </c>
      <c r="D8" s="4" t="s">
        <v>31</v>
      </c>
      <c r="E8" s="4" t="s">
        <v>60</v>
      </c>
      <c r="F8" s="4" t="s">
        <v>33</v>
      </c>
      <c r="G8" s="4" t="s">
        <v>34</v>
      </c>
      <c r="H8" s="5">
        <v>45.3</v>
      </c>
      <c r="I8" s="3" t="s">
        <v>61</v>
      </c>
      <c r="J8" s="3" t="s">
        <v>36</v>
      </c>
      <c r="K8" s="3" t="s">
        <v>37</v>
      </c>
      <c r="L8" s="3"/>
      <c r="M8" s="3"/>
      <c r="N8" s="3"/>
      <c r="O8" s="6">
        <v>0</v>
      </c>
      <c r="P8" s="6">
        <v>0</v>
      </c>
      <c r="Q8" s="6">
        <v>0</v>
      </c>
      <c r="R8" s="6">
        <v>1</v>
      </c>
      <c r="S8" s="6">
        <v>0</v>
      </c>
      <c r="T8" s="6">
        <v>0</v>
      </c>
      <c r="U8" s="6">
        <v>0</v>
      </c>
      <c r="V8" s="3"/>
      <c r="W8" s="3"/>
      <c r="X8" s="7">
        <f>설정!$B$4*H8+설정!$B$5*O8*(1+설정!$B$9*(O8-1))+설정!$B$6*P8*(1+설정!$B$9*(P8-1))+설정!$B$7*Q8*(1+설정!$B$9*(Q8-1))+설정!$B$8*R8*(1+설정!$B$9*(R8-1))</f>
        <v>1959</v>
      </c>
      <c r="Y8" s="7">
        <f>설정!$B$10*(O8*(1+설정!$B$9*(O8-1))+P8*(1+설정!$B$9*(P8-1)))</f>
        <v>0</v>
      </c>
      <c r="Z8" s="7">
        <f t="shared" si="0"/>
        <v>-45.3</v>
      </c>
      <c r="AA8" s="7">
        <f>X8*설정!$B$11</f>
        <v>195.9</v>
      </c>
      <c r="AB8" s="3"/>
    </row>
    <row r="9" spans="1:28">
      <c r="A9" s="3" t="s">
        <v>62</v>
      </c>
      <c r="B9" s="4" t="s">
        <v>63</v>
      </c>
      <c r="C9" s="4" t="s">
        <v>30</v>
      </c>
      <c r="D9" s="4" t="s">
        <v>31</v>
      </c>
      <c r="E9" s="4" t="s">
        <v>64</v>
      </c>
      <c r="F9" s="4" t="s">
        <v>33</v>
      </c>
      <c r="G9" s="4" t="s">
        <v>34</v>
      </c>
      <c r="H9" s="5">
        <v>42.1</v>
      </c>
      <c r="I9" s="3" t="s">
        <v>65</v>
      </c>
      <c r="J9" s="3" t="s">
        <v>36</v>
      </c>
      <c r="K9" s="3" t="s">
        <v>37</v>
      </c>
      <c r="L9" s="3"/>
      <c r="M9" s="3"/>
      <c r="N9" s="3"/>
      <c r="O9" s="6">
        <v>0</v>
      </c>
      <c r="P9" s="6">
        <v>0</v>
      </c>
      <c r="Q9" s="6">
        <v>0</v>
      </c>
      <c r="R9" s="6">
        <v>1</v>
      </c>
      <c r="S9" s="6">
        <v>0</v>
      </c>
      <c r="T9" s="6">
        <v>0</v>
      </c>
      <c r="U9" s="6">
        <v>0</v>
      </c>
      <c r="V9" s="3"/>
      <c r="W9" s="3"/>
      <c r="X9" s="7">
        <f>설정!$B$4*H9+설정!$B$5*O9*(1+설정!$B$9*(O9-1))+설정!$B$6*P9*(1+설정!$B$9*(P9-1))+설정!$B$7*Q9*(1+설정!$B$9*(Q9-1))+설정!$B$8*R9*(1+설정!$B$9*(R9-1))</f>
        <v>1863</v>
      </c>
      <c r="Y9" s="7">
        <f>설정!$B$10*(O9*(1+설정!$B$9*(O9-1))+P9*(1+설정!$B$9*(P9-1)))</f>
        <v>0</v>
      </c>
      <c r="Z9" s="7">
        <f t="shared" si="0"/>
        <v>-42.1</v>
      </c>
      <c r="AA9" s="7">
        <f>X9*설정!$B$11</f>
        <v>186.3</v>
      </c>
      <c r="AB9" s="3"/>
    </row>
    <row r="10" spans="1:28">
      <c r="A10" s="3" t="s">
        <v>66</v>
      </c>
      <c r="B10" s="4" t="s">
        <v>67</v>
      </c>
      <c r="C10" s="4" t="s">
        <v>30</v>
      </c>
      <c r="D10" s="4" t="s">
        <v>31</v>
      </c>
      <c r="E10" s="4" t="s">
        <v>68</v>
      </c>
      <c r="F10" s="4" t="s">
        <v>33</v>
      </c>
      <c r="G10" s="4" t="s">
        <v>34</v>
      </c>
      <c r="H10" s="5">
        <v>42</v>
      </c>
      <c r="I10" s="3" t="s">
        <v>69</v>
      </c>
      <c r="J10" s="3" t="s">
        <v>36</v>
      </c>
      <c r="K10" s="3" t="s">
        <v>37</v>
      </c>
      <c r="L10" s="3"/>
      <c r="M10" s="3"/>
      <c r="N10" s="3"/>
      <c r="O10" s="6">
        <v>0</v>
      </c>
      <c r="P10" s="6">
        <v>0</v>
      </c>
      <c r="Q10" s="6">
        <v>0</v>
      </c>
      <c r="R10" s="6">
        <v>1</v>
      </c>
      <c r="S10" s="6">
        <v>0</v>
      </c>
      <c r="T10" s="6">
        <v>0</v>
      </c>
      <c r="U10" s="6">
        <v>0</v>
      </c>
      <c r="V10" s="3"/>
      <c r="W10" s="3"/>
      <c r="X10" s="7">
        <f>설정!$B$4*H10+설정!$B$5*O10*(1+설정!$B$9*(O10-1))+설정!$B$6*P10*(1+설정!$B$9*(P10-1))+설정!$B$7*Q10*(1+설정!$B$9*(Q10-1))+설정!$B$8*R10*(1+설정!$B$9*(R10-1))</f>
        <v>1860</v>
      </c>
      <c r="Y10" s="7">
        <f>설정!$B$10*(O10*(1+설정!$B$9*(O10-1))+P10*(1+설정!$B$9*(P10-1)))</f>
        <v>0</v>
      </c>
      <c r="Z10" s="7">
        <f t="shared" si="0"/>
        <v>-42</v>
      </c>
      <c r="AA10" s="7">
        <f>X10*설정!$B$11</f>
        <v>186</v>
      </c>
      <c r="AB10" s="3"/>
    </row>
    <row r="11" spans="1:28">
      <c r="A11" s="3" t="s">
        <v>70</v>
      </c>
      <c r="B11" s="4" t="s">
        <v>71</v>
      </c>
      <c r="C11" s="4" t="s">
        <v>30</v>
      </c>
      <c r="D11" s="4" t="s">
        <v>31</v>
      </c>
      <c r="E11" s="4" t="s">
        <v>72</v>
      </c>
      <c r="F11" s="4" t="s">
        <v>33</v>
      </c>
      <c r="G11" s="4" t="s">
        <v>34</v>
      </c>
      <c r="H11" s="5">
        <v>41.7</v>
      </c>
      <c r="I11" s="3" t="s">
        <v>73</v>
      </c>
      <c r="J11" s="3" t="s">
        <v>36</v>
      </c>
      <c r="K11" s="3" t="s">
        <v>37</v>
      </c>
      <c r="L11" s="3"/>
      <c r="M11" s="3"/>
      <c r="N11" s="3"/>
      <c r="O11" s="6">
        <v>0</v>
      </c>
      <c r="P11" s="6">
        <v>0</v>
      </c>
      <c r="Q11" s="6">
        <v>0</v>
      </c>
      <c r="R11" s="6">
        <v>2</v>
      </c>
      <c r="S11" s="6">
        <v>0</v>
      </c>
      <c r="T11" s="6">
        <v>0</v>
      </c>
      <c r="U11" s="6">
        <v>0</v>
      </c>
      <c r="V11" s="3"/>
      <c r="W11" s="3"/>
      <c r="X11" s="7">
        <f>설정!$B$4*H11+설정!$B$5*O11*(1+설정!$B$9*(O11-1))+설정!$B$6*P11*(1+설정!$B$9*(P11-1))+설정!$B$7*Q11*(1+설정!$B$9*(Q11-1))+설정!$B$8*R11*(1+설정!$B$9*(R11-1))</f>
        <v>2691</v>
      </c>
      <c r="Y11" s="7">
        <f>설정!$B$10*(O11*(1+설정!$B$9*(O11-1))+P11*(1+설정!$B$9*(P11-1)))</f>
        <v>0</v>
      </c>
      <c r="Z11" s="7">
        <f t="shared" si="0"/>
        <v>-41.7</v>
      </c>
      <c r="AA11" s="7">
        <f>X11*설정!$B$11</f>
        <v>269.10000000000002</v>
      </c>
      <c r="AB11" s="3"/>
    </row>
    <row r="12" spans="1:28">
      <c r="A12" s="3" t="s">
        <v>74</v>
      </c>
      <c r="B12" s="4" t="s">
        <v>75</v>
      </c>
      <c r="C12" s="4" t="s">
        <v>30</v>
      </c>
      <c r="D12" s="4" t="s">
        <v>31</v>
      </c>
      <c r="E12" s="4" t="s">
        <v>76</v>
      </c>
      <c r="F12" s="4" t="s">
        <v>33</v>
      </c>
      <c r="G12" s="4" t="s">
        <v>34</v>
      </c>
      <c r="H12" s="5">
        <v>38.200000000000003</v>
      </c>
      <c r="I12" s="3" t="s">
        <v>77</v>
      </c>
      <c r="J12" s="3" t="s">
        <v>36</v>
      </c>
      <c r="K12" s="3" t="s">
        <v>37</v>
      </c>
      <c r="L12" s="3"/>
      <c r="M12" s="3"/>
      <c r="N12" s="3"/>
      <c r="O12" s="6">
        <v>0</v>
      </c>
      <c r="P12" s="6">
        <v>0</v>
      </c>
      <c r="Q12" s="6">
        <v>1</v>
      </c>
      <c r="R12" s="6">
        <v>1</v>
      </c>
      <c r="S12" s="6">
        <v>0</v>
      </c>
      <c r="T12" s="6">
        <v>0</v>
      </c>
      <c r="U12" s="6">
        <v>0</v>
      </c>
      <c r="V12" s="3"/>
      <c r="W12" s="3"/>
      <c r="X12" s="7">
        <f>설정!$B$4*H12+설정!$B$5*O12*(1+설정!$B$9*(O12-1))+설정!$B$6*P12*(1+설정!$B$9*(P12-1))+설정!$B$7*Q12*(1+설정!$B$9*(Q12-1))+설정!$B$8*R12*(1+설정!$B$9*(R12-1))</f>
        <v>2746</v>
      </c>
      <c r="Y12" s="7">
        <f>설정!$B$10*(O12*(1+설정!$B$9*(O12-1))+P12*(1+설정!$B$9*(P12-1)))</f>
        <v>0</v>
      </c>
      <c r="Z12" s="7">
        <f t="shared" si="0"/>
        <v>-38.200000000000003</v>
      </c>
      <c r="AA12" s="7">
        <f>X12*설정!$B$11</f>
        <v>274.60000000000002</v>
      </c>
      <c r="AB12" s="3"/>
    </row>
    <row r="13" spans="1:28">
      <c r="A13" s="3" t="s">
        <v>78</v>
      </c>
      <c r="B13" s="4" t="s">
        <v>79</v>
      </c>
      <c r="C13" s="4" t="s">
        <v>30</v>
      </c>
      <c r="D13" s="4" t="s">
        <v>31</v>
      </c>
      <c r="E13" s="4" t="s">
        <v>80</v>
      </c>
      <c r="F13" s="4" t="s">
        <v>33</v>
      </c>
      <c r="G13" s="4" t="s">
        <v>34</v>
      </c>
      <c r="H13" s="5">
        <v>37.700000000000003</v>
      </c>
      <c r="I13" s="3" t="s">
        <v>81</v>
      </c>
      <c r="J13" s="3" t="s">
        <v>36</v>
      </c>
      <c r="K13" s="3" t="s">
        <v>37</v>
      </c>
      <c r="L13" s="3"/>
      <c r="M13" s="3"/>
      <c r="N13" s="3"/>
      <c r="O13" s="6">
        <v>0</v>
      </c>
      <c r="P13" s="6">
        <v>0</v>
      </c>
      <c r="Q13" s="6">
        <v>0</v>
      </c>
      <c r="R13" s="6">
        <v>1</v>
      </c>
      <c r="S13" s="6">
        <v>0</v>
      </c>
      <c r="T13" s="6">
        <v>0</v>
      </c>
      <c r="U13" s="6">
        <v>0</v>
      </c>
      <c r="V13" s="3"/>
      <c r="W13" s="3"/>
      <c r="X13" s="7">
        <f>설정!$B$4*H13+설정!$B$5*O13*(1+설정!$B$9*(O13-1))+설정!$B$6*P13*(1+설정!$B$9*(P13-1))+설정!$B$7*Q13*(1+설정!$B$9*(Q13-1))+설정!$B$8*R13*(1+설정!$B$9*(R13-1))</f>
        <v>1731</v>
      </c>
      <c r="Y13" s="7">
        <f>설정!$B$10*(O13*(1+설정!$B$9*(O13-1))+P13*(1+설정!$B$9*(P13-1)))</f>
        <v>0</v>
      </c>
      <c r="Z13" s="7">
        <f t="shared" si="0"/>
        <v>-37.700000000000003</v>
      </c>
      <c r="AA13" s="7">
        <f>X13*설정!$B$11</f>
        <v>173.10000000000002</v>
      </c>
      <c r="AB13" s="3"/>
    </row>
    <row r="14" spans="1:28">
      <c r="A14" s="3" t="s">
        <v>82</v>
      </c>
      <c r="B14" s="4" t="s">
        <v>83</v>
      </c>
      <c r="C14" s="4" t="s">
        <v>30</v>
      </c>
      <c r="D14" s="4" t="s">
        <v>31</v>
      </c>
      <c r="E14" s="4" t="s">
        <v>84</v>
      </c>
      <c r="F14" s="4" t="s">
        <v>33</v>
      </c>
      <c r="G14" s="4" t="s">
        <v>34</v>
      </c>
      <c r="H14" s="5">
        <v>37.1</v>
      </c>
      <c r="I14" s="3" t="s">
        <v>85</v>
      </c>
      <c r="J14" s="3" t="s">
        <v>36</v>
      </c>
      <c r="K14" s="3" t="s">
        <v>37</v>
      </c>
      <c r="L14" s="3"/>
      <c r="M14" s="3"/>
      <c r="N14" s="3"/>
      <c r="O14" s="6">
        <v>0</v>
      </c>
      <c r="P14" s="6">
        <v>0</v>
      </c>
      <c r="Q14" s="6">
        <v>1</v>
      </c>
      <c r="R14" s="6">
        <v>2</v>
      </c>
      <c r="S14" s="6">
        <v>0</v>
      </c>
      <c r="T14" s="6">
        <v>0</v>
      </c>
      <c r="U14" s="6">
        <v>0</v>
      </c>
      <c r="V14" s="3"/>
      <c r="W14" s="3"/>
      <c r="X14" s="7">
        <f>설정!$B$4*H14+설정!$B$5*O14*(1+설정!$B$9*(O14-1))+설정!$B$6*P14*(1+설정!$B$9*(P14-1))+설정!$B$7*Q14*(1+설정!$B$9*(Q14-1))+설정!$B$8*R14*(1+설정!$B$9*(R14-1))</f>
        <v>3553</v>
      </c>
      <c r="Y14" s="7">
        <f>설정!$B$10*(O14*(1+설정!$B$9*(O14-1))+P14*(1+설정!$B$9*(P14-1)))</f>
        <v>0</v>
      </c>
      <c r="Z14" s="7">
        <f t="shared" si="0"/>
        <v>-37.1</v>
      </c>
      <c r="AA14" s="7">
        <f>X14*설정!$B$11</f>
        <v>355.3</v>
      </c>
      <c r="AB14" s="3"/>
    </row>
    <row r="15" spans="1:28">
      <c r="A15" s="3" t="s">
        <v>86</v>
      </c>
      <c r="B15" s="4" t="s">
        <v>87</v>
      </c>
      <c r="C15" s="4" t="s">
        <v>30</v>
      </c>
      <c r="D15" s="4" t="s">
        <v>31</v>
      </c>
      <c r="E15" s="4" t="s">
        <v>88</v>
      </c>
      <c r="F15" s="4" t="s">
        <v>33</v>
      </c>
      <c r="G15" s="4" t="s">
        <v>34</v>
      </c>
      <c r="H15" s="5">
        <v>37.1</v>
      </c>
      <c r="I15" s="3" t="s">
        <v>89</v>
      </c>
      <c r="J15" s="3" t="s">
        <v>36</v>
      </c>
      <c r="K15" s="3" t="s">
        <v>37</v>
      </c>
      <c r="L15" s="3"/>
      <c r="M15" s="3"/>
      <c r="N15" s="3"/>
      <c r="O15" s="6">
        <v>0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3"/>
      <c r="W15" s="3"/>
      <c r="X15" s="7">
        <f>설정!$B$4*H15+설정!$B$5*O15*(1+설정!$B$9*(O15-1))+설정!$B$6*P15*(1+설정!$B$9*(P15-1))+설정!$B$7*Q15*(1+설정!$B$9*(Q15-1))+설정!$B$8*R15*(1+설정!$B$9*(R15-1))</f>
        <v>1713</v>
      </c>
      <c r="Y15" s="7">
        <f>설정!$B$10*(O15*(1+설정!$B$9*(O15-1))+P15*(1+설정!$B$9*(P15-1)))</f>
        <v>0</v>
      </c>
      <c r="Z15" s="7">
        <f t="shared" si="0"/>
        <v>-37.1</v>
      </c>
      <c r="AA15" s="7">
        <f>X15*설정!$B$11</f>
        <v>171.3</v>
      </c>
      <c r="AB15" s="3"/>
    </row>
    <row r="16" spans="1:28">
      <c r="A16" s="3" t="s">
        <v>90</v>
      </c>
      <c r="B16" s="4" t="s">
        <v>91</v>
      </c>
      <c r="C16" s="4" t="s">
        <v>30</v>
      </c>
      <c r="D16" s="4" t="s">
        <v>31</v>
      </c>
      <c r="E16" s="4" t="s">
        <v>92</v>
      </c>
      <c r="F16" s="4" t="s">
        <v>33</v>
      </c>
      <c r="G16" s="4" t="s">
        <v>34</v>
      </c>
      <c r="H16" s="5">
        <v>35.6</v>
      </c>
      <c r="I16" s="3" t="s">
        <v>93</v>
      </c>
      <c r="J16" s="3" t="s">
        <v>36</v>
      </c>
      <c r="K16" s="3" t="s">
        <v>37</v>
      </c>
      <c r="L16" s="3"/>
      <c r="M16" s="3"/>
      <c r="N16" s="3"/>
      <c r="O16" s="6">
        <v>0</v>
      </c>
      <c r="P16" s="6">
        <v>0</v>
      </c>
      <c r="Q16" s="6">
        <v>0</v>
      </c>
      <c r="R16" s="6">
        <v>2</v>
      </c>
      <c r="S16" s="6">
        <v>0</v>
      </c>
      <c r="T16" s="6">
        <v>0</v>
      </c>
      <c r="U16" s="6">
        <v>0</v>
      </c>
      <c r="V16" s="3"/>
      <c r="W16" s="3"/>
      <c r="X16" s="7">
        <f>설정!$B$4*H16+설정!$B$5*O16*(1+설정!$B$9*(O16-1))+설정!$B$6*P16*(1+설정!$B$9*(P16-1))+설정!$B$7*Q16*(1+설정!$B$9*(Q16-1))+설정!$B$8*R16*(1+설정!$B$9*(R16-1))</f>
        <v>2508</v>
      </c>
      <c r="Y16" s="7">
        <f>설정!$B$10*(O16*(1+설정!$B$9*(O16-1))+P16*(1+설정!$B$9*(P16-1)))</f>
        <v>0</v>
      </c>
      <c r="Z16" s="7">
        <f t="shared" si="0"/>
        <v>-35.6</v>
      </c>
      <c r="AA16" s="7">
        <f>X16*설정!$B$11</f>
        <v>250.8</v>
      </c>
      <c r="AB16" s="3"/>
    </row>
    <row r="17" spans="1:28">
      <c r="A17" s="3" t="s">
        <v>94</v>
      </c>
      <c r="B17" s="4" t="s">
        <v>95</v>
      </c>
      <c r="C17" s="4" t="s">
        <v>30</v>
      </c>
      <c r="D17" s="4" t="s">
        <v>31</v>
      </c>
      <c r="E17" s="4" t="s">
        <v>96</v>
      </c>
      <c r="F17" s="4" t="s">
        <v>33</v>
      </c>
      <c r="G17" s="4" t="s">
        <v>34</v>
      </c>
      <c r="H17" s="5">
        <v>35.299999999999997</v>
      </c>
      <c r="I17" s="3" t="s">
        <v>97</v>
      </c>
      <c r="J17" s="3" t="s">
        <v>36</v>
      </c>
      <c r="K17" s="3" t="s">
        <v>37</v>
      </c>
      <c r="L17" s="3"/>
      <c r="M17" s="3"/>
      <c r="N17" s="3"/>
      <c r="O17" s="6">
        <v>0</v>
      </c>
      <c r="P17" s="6">
        <v>0</v>
      </c>
      <c r="Q17" s="6">
        <v>0</v>
      </c>
      <c r="R17" s="6">
        <v>1</v>
      </c>
      <c r="S17" s="6">
        <v>0</v>
      </c>
      <c r="T17" s="6">
        <v>0</v>
      </c>
      <c r="U17" s="6">
        <v>0</v>
      </c>
      <c r="V17" s="3"/>
      <c r="W17" s="3"/>
      <c r="X17" s="7">
        <f>설정!$B$4*H17+설정!$B$5*O17*(1+설정!$B$9*(O17-1))+설정!$B$6*P17*(1+설정!$B$9*(P17-1))+설정!$B$7*Q17*(1+설정!$B$9*(Q17-1))+설정!$B$8*R17*(1+설정!$B$9*(R17-1))</f>
        <v>1659</v>
      </c>
      <c r="Y17" s="7">
        <f>설정!$B$10*(O17*(1+설정!$B$9*(O17-1))+P17*(1+설정!$B$9*(P17-1)))</f>
        <v>0</v>
      </c>
      <c r="Z17" s="7">
        <f t="shared" si="0"/>
        <v>-35.299999999999997</v>
      </c>
      <c r="AA17" s="7">
        <f>X17*설정!$B$11</f>
        <v>165.9</v>
      </c>
      <c r="AB17" s="3"/>
    </row>
    <row r="18" spans="1:28">
      <c r="A18" s="3" t="s">
        <v>98</v>
      </c>
      <c r="B18" s="4" t="s">
        <v>99</v>
      </c>
      <c r="C18" s="4" t="s">
        <v>30</v>
      </c>
      <c r="D18" s="4" t="s">
        <v>31</v>
      </c>
      <c r="E18" s="4" t="s">
        <v>100</v>
      </c>
      <c r="F18" s="4" t="s">
        <v>33</v>
      </c>
      <c r="G18" s="4" t="s">
        <v>34</v>
      </c>
      <c r="H18" s="5">
        <v>33.1</v>
      </c>
      <c r="I18" s="3" t="s">
        <v>101</v>
      </c>
      <c r="J18" s="3" t="s">
        <v>36</v>
      </c>
      <c r="K18" s="3" t="s">
        <v>37</v>
      </c>
      <c r="L18" s="3"/>
      <c r="M18" s="3"/>
      <c r="N18" s="3"/>
      <c r="O18" s="6">
        <v>0</v>
      </c>
      <c r="P18" s="6">
        <v>0</v>
      </c>
      <c r="Q18" s="6">
        <v>0</v>
      </c>
      <c r="R18" s="6">
        <v>1</v>
      </c>
      <c r="S18" s="6">
        <v>0</v>
      </c>
      <c r="T18" s="6">
        <v>0</v>
      </c>
      <c r="U18" s="6">
        <v>0</v>
      </c>
      <c r="V18" s="3"/>
      <c r="W18" s="3"/>
      <c r="X18" s="7">
        <f>설정!$B$4*H18+설정!$B$5*O18*(1+설정!$B$9*(O18-1))+설정!$B$6*P18*(1+설정!$B$9*(P18-1))+설정!$B$7*Q18*(1+설정!$B$9*(Q18-1))+설정!$B$8*R18*(1+설정!$B$9*(R18-1))</f>
        <v>1593</v>
      </c>
      <c r="Y18" s="7">
        <f>설정!$B$10*(O18*(1+설정!$B$9*(O18-1))+P18*(1+설정!$B$9*(P18-1)))</f>
        <v>0</v>
      </c>
      <c r="Z18" s="7">
        <f t="shared" si="0"/>
        <v>-33.1</v>
      </c>
      <c r="AA18" s="7">
        <f>X18*설정!$B$11</f>
        <v>159.30000000000001</v>
      </c>
      <c r="AB18" s="3"/>
    </row>
    <row r="19" spans="1:28">
      <c r="A19" s="3" t="s">
        <v>102</v>
      </c>
      <c r="B19" s="4" t="s">
        <v>103</v>
      </c>
      <c r="C19" s="4" t="s">
        <v>30</v>
      </c>
      <c r="D19" s="4" t="s">
        <v>31</v>
      </c>
      <c r="E19" s="4" t="s">
        <v>104</v>
      </c>
      <c r="F19" s="4" t="s">
        <v>33</v>
      </c>
      <c r="G19" s="4" t="s">
        <v>34</v>
      </c>
      <c r="H19" s="5">
        <v>29.9</v>
      </c>
      <c r="I19" s="3" t="s">
        <v>105</v>
      </c>
      <c r="J19" s="3" t="s">
        <v>36</v>
      </c>
      <c r="K19" s="3" t="s">
        <v>37</v>
      </c>
      <c r="L19" s="3"/>
      <c r="M19" s="3"/>
      <c r="N19" s="3"/>
      <c r="O19" s="6">
        <v>0</v>
      </c>
      <c r="P19" s="6">
        <v>0</v>
      </c>
      <c r="Q19" s="6">
        <v>0</v>
      </c>
      <c r="R19" s="6">
        <v>1</v>
      </c>
      <c r="S19" s="6">
        <v>0</v>
      </c>
      <c r="T19" s="6">
        <v>0</v>
      </c>
      <c r="U19" s="6">
        <v>0</v>
      </c>
      <c r="V19" s="3"/>
      <c r="W19" s="3"/>
      <c r="X19" s="7">
        <f>설정!$B$4*H19+설정!$B$5*O19*(1+설정!$B$9*(O19-1))+설정!$B$6*P19*(1+설정!$B$9*(P19-1))+설정!$B$7*Q19*(1+설정!$B$9*(Q19-1))+설정!$B$8*R19*(1+설정!$B$9*(R19-1))</f>
        <v>1497</v>
      </c>
      <c r="Y19" s="7">
        <f>설정!$B$10*(O19*(1+설정!$B$9*(O19-1))+P19*(1+설정!$B$9*(P19-1)))</f>
        <v>0</v>
      </c>
      <c r="Z19" s="7">
        <f t="shared" si="0"/>
        <v>-29.9</v>
      </c>
      <c r="AA19" s="7">
        <f>X19*설정!$B$11</f>
        <v>149.70000000000002</v>
      </c>
      <c r="AB19" s="3"/>
    </row>
    <row r="20" spans="1:28">
      <c r="A20" s="3" t="s">
        <v>106</v>
      </c>
      <c r="B20" s="4" t="s">
        <v>107</v>
      </c>
      <c r="C20" s="4" t="s">
        <v>30</v>
      </c>
      <c r="D20" s="4" t="s">
        <v>31</v>
      </c>
      <c r="E20" s="4" t="s">
        <v>108</v>
      </c>
      <c r="F20" s="4" t="s">
        <v>33</v>
      </c>
      <c r="G20" s="4" t="s">
        <v>34</v>
      </c>
      <c r="H20" s="5">
        <v>29.8</v>
      </c>
      <c r="I20" s="3" t="s">
        <v>109</v>
      </c>
      <c r="J20" s="3" t="s">
        <v>36</v>
      </c>
      <c r="K20" s="3" t="s">
        <v>37</v>
      </c>
      <c r="L20" s="3"/>
      <c r="M20" s="3"/>
      <c r="N20" s="3"/>
      <c r="O20" s="6">
        <v>0</v>
      </c>
      <c r="P20" s="6">
        <v>0</v>
      </c>
      <c r="Q20" s="6">
        <v>0</v>
      </c>
      <c r="R20" s="6">
        <v>1</v>
      </c>
      <c r="S20" s="6">
        <v>0</v>
      </c>
      <c r="T20" s="6">
        <v>0</v>
      </c>
      <c r="U20" s="6">
        <v>0</v>
      </c>
      <c r="V20" s="3"/>
      <c r="W20" s="3"/>
      <c r="X20" s="7">
        <f>설정!$B$4*H20+설정!$B$5*O20*(1+설정!$B$9*(O20-1))+설정!$B$6*P20*(1+설정!$B$9*(P20-1))+설정!$B$7*Q20*(1+설정!$B$9*(Q20-1))+설정!$B$8*R20*(1+설정!$B$9*(R20-1))</f>
        <v>1494</v>
      </c>
      <c r="Y20" s="7">
        <f>설정!$B$10*(O20*(1+설정!$B$9*(O20-1))+P20*(1+설정!$B$9*(P20-1)))</f>
        <v>0</v>
      </c>
      <c r="Z20" s="7">
        <f t="shared" si="0"/>
        <v>-29.8</v>
      </c>
      <c r="AA20" s="7">
        <f>X20*설정!$B$11</f>
        <v>149.4</v>
      </c>
      <c r="AB20" s="3"/>
    </row>
    <row r="21" spans="1:28">
      <c r="A21" s="3" t="s">
        <v>110</v>
      </c>
      <c r="B21" s="4" t="s">
        <v>111</v>
      </c>
      <c r="C21" s="4" t="s">
        <v>30</v>
      </c>
      <c r="D21" s="4" t="s">
        <v>31</v>
      </c>
      <c r="E21" s="4" t="s">
        <v>112</v>
      </c>
      <c r="F21" s="4" t="s">
        <v>33</v>
      </c>
      <c r="G21" s="4" t="s">
        <v>34</v>
      </c>
      <c r="H21" s="5">
        <v>27.8</v>
      </c>
      <c r="I21" s="3" t="s">
        <v>113</v>
      </c>
      <c r="J21" s="3" t="s">
        <v>36</v>
      </c>
      <c r="K21" s="3" t="s">
        <v>37</v>
      </c>
      <c r="L21" s="3"/>
      <c r="M21" s="3"/>
      <c r="N21" s="3"/>
      <c r="O21" s="6">
        <v>0</v>
      </c>
      <c r="P21" s="6">
        <v>0</v>
      </c>
      <c r="Q21" s="6">
        <v>0</v>
      </c>
      <c r="R21" s="6">
        <v>1</v>
      </c>
      <c r="S21" s="6">
        <v>0</v>
      </c>
      <c r="T21" s="6">
        <v>0</v>
      </c>
      <c r="U21" s="6">
        <v>0</v>
      </c>
      <c r="V21" s="3"/>
      <c r="W21" s="3"/>
      <c r="X21" s="7">
        <f>설정!$B$4*H21+설정!$B$5*O21*(1+설정!$B$9*(O21-1))+설정!$B$6*P21*(1+설정!$B$9*(P21-1))+설정!$B$7*Q21*(1+설정!$B$9*(Q21-1))+설정!$B$8*R21*(1+설정!$B$9*(R21-1))</f>
        <v>1434</v>
      </c>
      <c r="Y21" s="7">
        <f>설정!$B$10*(O21*(1+설정!$B$9*(O21-1))+P21*(1+설정!$B$9*(P21-1)))</f>
        <v>0</v>
      </c>
      <c r="Z21" s="7">
        <f t="shared" si="0"/>
        <v>-27.8</v>
      </c>
      <c r="AA21" s="7">
        <f>X21*설정!$B$11</f>
        <v>143.4</v>
      </c>
      <c r="AB21" s="3"/>
    </row>
    <row r="22" spans="1:28">
      <c r="A22" s="3" t="s">
        <v>114</v>
      </c>
      <c r="B22" s="4" t="s">
        <v>115</v>
      </c>
      <c r="C22" s="4" t="s">
        <v>30</v>
      </c>
      <c r="D22" s="4" t="s">
        <v>31</v>
      </c>
      <c r="E22" s="4" t="s">
        <v>116</v>
      </c>
      <c r="F22" s="4" t="s">
        <v>33</v>
      </c>
      <c r="G22" s="4" t="s">
        <v>34</v>
      </c>
      <c r="H22" s="5">
        <v>27.4</v>
      </c>
      <c r="I22" s="3" t="s">
        <v>117</v>
      </c>
      <c r="J22" s="3" t="s">
        <v>36</v>
      </c>
      <c r="K22" s="3" t="s">
        <v>37</v>
      </c>
      <c r="L22" s="3"/>
      <c r="M22" s="3"/>
      <c r="N22" s="3"/>
      <c r="O22" s="6">
        <v>0</v>
      </c>
      <c r="P22" s="6">
        <v>0</v>
      </c>
      <c r="Q22" s="6">
        <v>1</v>
      </c>
      <c r="R22" s="6">
        <v>1</v>
      </c>
      <c r="S22" s="6">
        <v>0</v>
      </c>
      <c r="T22" s="6">
        <v>0</v>
      </c>
      <c r="U22" s="6">
        <v>0</v>
      </c>
      <c r="V22" s="3"/>
      <c r="W22" s="3"/>
      <c r="X22" s="7">
        <f>설정!$B$4*H22+설정!$B$5*O22*(1+설정!$B$9*(O22-1))+설정!$B$6*P22*(1+설정!$B$9*(P22-1))+설정!$B$7*Q22*(1+설정!$B$9*(Q22-1))+설정!$B$8*R22*(1+설정!$B$9*(R22-1))</f>
        <v>2422</v>
      </c>
      <c r="Y22" s="7">
        <f>설정!$B$10*(O22*(1+설정!$B$9*(O22-1))+P22*(1+설정!$B$9*(P22-1)))</f>
        <v>0</v>
      </c>
      <c r="Z22" s="7">
        <f t="shared" si="0"/>
        <v>-27.4</v>
      </c>
      <c r="AA22" s="7">
        <f>X22*설정!$B$11</f>
        <v>242.20000000000002</v>
      </c>
      <c r="AB22" s="3"/>
    </row>
    <row r="23" spans="1:28">
      <c r="A23" s="3" t="s">
        <v>118</v>
      </c>
      <c r="B23" s="4" t="s">
        <v>119</v>
      </c>
      <c r="C23" s="4" t="s">
        <v>30</v>
      </c>
      <c r="D23" s="4" t="s">
        <v>31</v>
      </c>
      <c r="E23" s="4" t="s">
        <v>120</v>
      </c>
      <c r="F23" s="4" t="s">
        <v>33</v>
      </c>
      <c r="G23" s="4" t="s">
        <v>34</v>
      </c>
      <c r="H23" s="5">
        <v>22.2</v>
      </c>
      <c r="I23" s="3" t="s">
        <v>121</v>
      </c>
      <c r="J23" s="3" t="s">
        <v>36</v>
      </c>
      <c r="K23" s="3" t="s">
        <v>37</v>
      </c>
      <c r="L23" s="3"/>
      <c r="M23" s="3"/>
      <c r="N23" s="3"/>
      <c r="O23" s="6">
        <v>0</v>
      </c>
      <c r="P23" s="6">
        <v>0</v>
      </c>
      <c r="Q23" s="6">
        <v>1</v>
      </c>
      <c r="R23" s="6">
        <v>1</v>
      </c>
      <c r="S23" s="6">
        <v>0</v>
      </c>
      <c r="T23" s="6">
        <v>0</v>
      </c>
      <c r="U23" s="6">
        <v>0</v>
      </c>
      <c r="V23" s="3"/>
      <c r="W23" s="3"/>
      <c r="X23" s="7">
        <f>설정!$B$4*H23+설정!$B$5*O23*(1+설정!$B$9*(O23-1))+설정!$B$6*P23*(1+설정!$B$9*(P23-1))+설정!$B$7*Q23*(1+설정!$B$9*(Q23-1))+설정!$B$8*R23*(1+설정!$B$9*(R23-1))</f>
        <v>2266</v>
      </c>
      <c r="Y23" s="7">
        <f>설정!$B$10*(O23*(1+설정!$B$9*(O23-1))+P23*(1+설정!$B$9*(P23-1)))</f>
        <v>0</v>
      </c>
      <c r="Z23" s="7">
        <f t="shared" si="0"/>
        <v>-22.2</v>
      </c>
      <c r="AA23" s="7">
        <f>X23*설정!$B$11</f>
        <v>226.60000000000002</v>
      </c>
      <c r="AB23" s="3"/>
    </row>
    <row r="24" spans="1:28">
      <c r="A24" s="3" t="s">
        <v>122</v>
      </c>
      <c r="B24" s="4" t="s">
        <v>123</v>
      </c>
      <c r="C24" s="4" t="s">
        <v>30</v>
      </c>
      <c r="D24" s="4" t="s">
        <v>31</v>
      </c>
      <c r="E24" s="4" t="s">
        <v>124</v>
      </c>
      <c r="F24" s="4" t="s">
        <v>33</v>
      </c>
      <c r="G24" s="4" t="s">
        <v>34</v>
      </c>
      <c r="H24" s="5">
        <v>19.899999999999999</v>
      </c>
      <c r="I24" s="3" t="s">
        <v>125</v>
      </c>
      <c r="J24" s="3" t="s">
        <v>36</v>
      </c>
      <c r="K24" s="3" t="s">
        <v>37</v>
      </c>
      <c r="L24" s="3"/>
      <c r="M24" s="3"/>
      <c r="N24" s="3"/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0</v>
      </c>
      <c r="U24" s="6">
        <v>0</v>
      </c>
      <c r="V24" s="3"/>
      <c r="W24" s="3"/>
      <c r="X24" s="7">
        <f>설정!$B$4*H24+설정!$B$5*O24*(1+설정!$B$9*(O24-1))+설정!$B$6*P24*(1+설정!$B$9*(P24-1))+설정!$B$7*Q24*(1+설정!$B$9*(Q24-1))+설정!$B$8*R24*(1+설정!$B$9*(R24-1))</f>
        <v>1197</v>
      </c>
      <c r="Y24" s="7">
        <f>설정!$B$10*(O24*(1+설정!$B$9*(O24-1))+P24*(1+설정!$B$9*(P24-1)))</f>
        <v>0</v>
      </c>
      <c r="Z24" s="7">
        <f t="shared" si="0"/>
        <v>-19.899999999999999</v>
      </c>
      <c r="AA24" s="7">
        <f>X24*설정!$B$11</f>
        <v>119.7</v>
      </c>
      <c r="AB24" s="3"/>
    </row>
    <row r="25" spans="1:28">
      <c r="A25" s="3" t="s">
        <v>126</v>
      </c>
      <c r="B25" s="4" t="s">
        <v>127</v>
      </c>
      <c r="C25" s="4" t="s">
        <v>30</v>
      </c>
      <c r="D25" s="4" t="s">
        <v>31</v>
      </c>
      <c r="E25" s="4" t="s">
        <v>128</v>
      </c>
      <c r="F25" s="4" t="s">
        <v>33</v>
      </c>
      <c r="G25" s="4" t="s">
        <v>34</v>
      </c>
      <c r="H25" s="5">
        <v>13.6</v>
      </c>
      <c r="I25" s="3" t="s">
        <v>129</v>
      </c>
      <c r="J25" s="3" t="s">
        <v>36</v>
      </c>
      <c r="K25" s="3" t="s">
        <v>37</v>
      </c>
      <c r="L25" s="3"/>
      <c r="M25" s="3"/>
      <c r="N25" s="3"/>
      <c r="O25" s="6">
        <v>0</v>
      </c>
      <c r="P25" s="6">
        <v>0</v>
      </c>
      <c r="Q25" s="6">
        <v>0</v>
      </c>
      <c r="R25" s="6">
        <v>2</v>
      </c>
      <c r="S25" s="6">
        <v>0</v>
      </c>
      <c r="T25" s="6">
        <v>0</v>
      </c>
      <c r="U25" s="6">
        <v>0</v>
      </c>
      <c r="V25" s="3"/>
      <c r="W25" s="3"/>
      <c r="X25" s="7">
        <f>설정!$B$4*H25+설정!$B$5*O25*(1+설정!$B$9*(O25-1))+설정!$B$6*P25*(1+설정!$B$9*(P25-1))+설정!$B$7*Q25*(1+설정!$B$9*(Q25-1))+설정!$B$8*R25*(1+설정!$B$9*(R25-1))</f>
        <v>1848</v>
      </c>
      <c r="Y25" s="7">
        <f>설정!$B$10*(O25*(1+설정!$B$9*(O25-1))+P25*(1+설정!$B$9*(P25-1)))</f>
        <v>0</v>
      </c>
      <c r="Z25" s="7">
        <f t="shared" si="0"/>
        <v>-13.6</v>
      </c>
      <c r="AA25" s="7">
        <f>X25*설정!$B$11</f>
        <v>184.8</v>
      </c>
      <c r="AB25" s="3"/>
    </row>
    <row r="26" spans="1:28">
      <c r="A26" s="3" t="s">
        <v>130</v>
      </c>
      <c r="B26" s="4" t="s">
        <v>131</v>
      </c>
      <c r="C26" s="4" t="s">
        <v>30</v>
      </c>
      <c r="D26" s="4" t="s">
        <v>31</v>
      </c>
      <c r="E26" s="4" t="s">
        <v>132</v>
      </c>
      <c r="F26" s="4" t="s">
        <v>33</v>
      </c>
      <c r="G26" s="4" t="s">
        <v>34</v>
      </c>
      <c r="H26" s="5">
        <v>11.7</v>
      </c>
      <c r="I26" s="3" t="s">
        <v>133</v>
      </c>
      <c r="J26" s="3" t="s">
        <v>36</v>
      </c>
      <c r="K26" s="3" t="s">
        <v>37</v>
      </c>
      <c r="L26" s="3"/>
      <c r="M26" s="3"/>
      <c r="N26" s="3"/>
      <c r="O26" s="6">
        <v>0</v>
      </c>
      <c r="P26" s="6">
        <v>0</v>
      </c>
      <c r="Q26" s="6">
        <v>0</v>
      </c>
      <c r="R26" s="6">
        <v>2</v>
      </c>
      <c r="S26" s="6">
        <v>0</v>
      </c>
      <c r="T26" s="6">
        <v>0</v>
      </c>
      <c r="U26" s="6">
        <v>0</v>
      </c>
      <c r="V26" s="3"/>
      <c r="W26" s="3"/>
      <c r="X26" s="7">
        <f>설정!$B$4*H26+설정!$B$5*O26*(1+설정!$B$9*(O26-1))+설정!$B$6*P26*(1+설정!$B$9*(P26-1))+설정!$B$7*Q26*(1+설정!$B$9*(Q26-1))+설정!$B$8*R26*(1+설정!$B$9*(R26-1))</f>
        <v>1791</v>
      </c>
      <c r="Y26" s="7">
        <f>설정!$B$10*(O26*(1+설정!$B$9*(O26-1))+P26*(1+설정!$B$9*(P26-1)))</f>
        <v>0</v>
      </c>
      <c r="Z26" s="7">
        <f t="shared" si="0"/>
        <v>-11.7</v>
      </c>
      <c r="AA26" s="7">
        <f>X26*설정!$B$11</f>
        <v>179.10000000000002</v>
      </c>
      <c r="AB26" s="3"/>
    </row>
    <row r="27" spans="1:28">
      <c r="A27" s="3" t="s">
        <v>134</v>
      </c>
      <c r="B27" s="4" t="s">
        <v>135</v>
      </c>
      <c r="C27" s="4" t="s">
        <v>136</v>
      </c>
      <c r="D27" s="4" t="s">
        <v>31</v>
      </c>
      <c r="E27" s="4" t="s">
        <v>137</v>
      </c>
      <c r="F27" s="4" t="s">
        <v>33</v>
      </c>
      <c r="G27" s="4" t="s">
        <v>138</v>
      </c>
      <c r="H27" s="5">
        <v>37</v>
      </c>
      <c r="I27" s="3" t="s">
        <v>139</v>
      </c>
      <c r="J27" s="3" t="s">
        <v>36</v>
      </c>
      <c r="K27" s="3" t="s">
        <v>140</v>
      </c>
      <c r="L27" s="4" t="s">
        <v>141</v>
      </c>
      <c r="M27" s="3"/>
      <c r="N27" s="3"/>
      <c r="O27" s="6">
        <v>0</v>
      </c>
      <c r="P27" s="6">
        <v>1</v>
      </c>
      <c r="Q27" s="6">
        <v>0</v>
      </c>
      <c r="R27" s="6">
        <v>2</v>
      </c>
      <c r="S27" s="6">
        <v>0</v>
      </c>
      <c r="T27" s="6">
        <v>0</v>
      </c>
      <c r="U27" s="6">
        <v>0</v>
      </c>
      <c r="V27" s="3"/>
      <c r="W27" s="3"/>
      <c r="X27" s="7">
        <f>설정!$B$4*H27+설정!$B$5*O27*(1+설정!$B$9*(O27-1))+설정!$B$6*P27*(1+설정!$B$9*(P27-1))+설정!$B$7*Q27*(1+설정!$B$9*(Q27-1))+설정!$B$8*R27*(1+설정!$B$9*(R27-1))</f>
        <v>2700</v>
      </c>
      <c r="Y27" s="7">
        <f>설정!$B$10*(O27*(1+설정!$B$9*(O27-1))+P27*(1+설정!$B$9*(P27-1)))</f>
        <v>15</v>
      </c>
      <c r="Z27" s="7">
        <f t="shared" si="0"/>
        <v>-22</v>
      </c>
      <c r="AA27" s="7">
        <f>X27*설정!$B$11</f>
        <v>270</v>
      </c>
      <c r="AB27" s="3"/>
    </row>
    <row r="28" spans="1:28">
      <c r="A28" s="3" t="s">
        <v>142</v>
      </c>
      <c r="B28" s="4" t="s">
        <v>143</v>
      </c>
      <c r="C28" s="4" t="s">
        <v>136</v>
      </c>
      <c r="D28" s="4" t="s">
        <v>31</v>
      </c>
      <c r="E28" s="4" t="s">
        <v>144</v>
      </c>
      <c r="F28" s="4" t="s">
        <v>33</v>
      </c>
      <c r="G28" s="4" t="s">
        <v>138</v>
      </c>
      <c r="H28" s="5">
        <v>36.4</v>
      </c>
      <c r="I28" s="3" t="s">
        <v>145</v>
      </c>
      <c r="J28" s="3" t="s">
        <v>36</v>
      </c>
      <c r="K28" s="3" t="s">
        <v>37</v>
      </c>
      <c r="L28" s="3"/>
      <c r="M28" s="3"/>
      <c r="N28" s="3"/>
      <c r="O28" s="6">
        <v>0</v>
      </c>
      <c r="P28" s="6">
        <v>0</v>
      </c>
      <c r="Q28" s="6">
        <v>0</v>
      </c>
      <c r="R28" s="6">
        <v>2</v>
      </c>
      <c r="S28" s="6">
        <v>0</v>
      </c>
      <c r="T28" s="6">
        <v>0</v>
      </c>
      <c r="U28" s="6">
        <v>0</v>
      </c>
      <c r="V28" s="3"/>
      <c r="W28" s="3"/>
      <c r="X28" s="7">
        <f>설정!$B$4*H28+설정!$B$5*O28*(1+설정!$B$9*(O28-1))+설정!$B$6*P28*(1+설정!$B$9*(P28-1))+설정!$B$7*Q28*(1+설정!$B$9*(Q28-1))+설정!$B$8*R28*(1+설정!$B$9*(R28-1))</f>
        <v>2532</v>
      </c>
      <c r="Y28" s="7">
        <f>설정!$B$10*(O28*(1+설정!$B$9*(O28-1))+P28*(1+설정!$B$9*(P28-1)))</f>
        <v>0</v>
      </c>
      <c r="Z28" s="7">
        <f t="shared" si="0"/>
        <v>-36.4</v>
      </c>
      <c r="AA28" s="7">
        <f>X28*설정!$B$11</f>
        <v>253.20000000000002</v>
      </c>
      <c r="AB28" s="3"/>
    </row>
    <row r="29" spans="1:28">
      <c r="A29" s="3" t="s">
        <v>146</v>
      </c>
      <c r="B29" s="4" t="s">
        <v>147</v>
      </c>
      <c r="C29" s="4" t="s">
        <v>136</v>
      </c>
      <c r="D29" s="4" t="s">
        <v>31</v>
      </c>
      <c r="E29" s="4" t="s">
        <v>148</v>
      </c>
      <c r="F29" s="4" t="s">
        <v>33</v>
      </c>
      <c r="G29" s="4" t="s">
        <v>138</v>
      </c>
      <c r="H29" s="5">
        <v>28.1</v>
      </c>
      <c r="I29" s="3" t="s">
        <v>149</v>
      </c>
      <c r="J29" s="3" t="s">
        <v>36</v>
      </c>
      <c r="K29" s="3" t="s">
        <v>140</v>
      </c>
      <c r="L29" s="4" t="s">
        <v>141</v>
      </c>
      <c r="M29" s="3"/>
      <c r="N29" s="3"/>
      <c r="O29" s="6">
        <v>0</v>
      </c>
      <c r="P29" s="6">
        <v>1</v>
      </c>
      <c r="Q29" s="6">
        <v>1</v>
      </c>
      <c r="R29" s="6">
        <v>1</v>
      </c>
      <c r="S29" s="6">
        <v>0</v>
      </c>
      <c r="T29" s="6">
        <v>0</v>
      </c>
      <c r="U29" s="6">
        <v>0</v>
      </c>
      <c r="V29" s="3"/>
      <c r="W29" s="3"/>
      <c r="X29" s="7">
        <f>설정!$B$4*H29+설정!$B$5*O29*(1+설정!$B$9*(O29-1))+설정!$B$6*P29*(1+설정!$B$9*(P29-1))+설정!$B$7*Q29*(1+설정!$B$9*(Q29-1))+설정!$B$8*R29*(1+설정!$B$9*(R29-1))</f>
        <v>2593</v>
      </c>
      <c r="Y29" s="7">
        <f>설정!$B$10*(O29*(1+설정!$B$9*(O29-1))+P29*(1+설정!$B$9*(P29-1)))</f>
        <v>15</v>
      </c>
      <c r="Z29" s="7">
        <f t="shared" si="0"/>
        <v>-13.100000000000001</v>
      </c>
      <c r="AA29" s="7">
        <f>X29*설정!$B$11</f>
        <v>259.3</v>
      </c>
      <c r="AB29" s="3"/>
    </row>
    <row r="30" spans="1:28">
      <c r="A30" s="3" t="s">
        <v>150</v>
      </c>
      <c r="B30" s="4" t="s">
        <v>151</v>
      </c>
      <c r="C30" s="4" t="s">
        <v>136</v>
      </c>
      <c r="D30" s="4" t="s">
        <v>31</v>
      </c>
      <c r="E30" s="4" t="s">
        <v>152</v>
      </c>
      <c r="F30" s="4" t="s">
        <v>33</v>
      </c>
      <c r="G30" s="4" t="s">
        <v>138</v>
      </c>
      <c r="H30" s="5">
        <v>27.1</v>
      </c>
      <c r="I30" s="3" t="s">
        <v>153</v>
      </c>
      <c r="J30" s="3" t="s">
        <v>36</v>
      </c>
      <c r="K30" s="3" t="s">
        <v>37</v>
      </c>
      <c r="L30" s="3"/>
      <c r="M30" s="3"/>
      <c r="N30" s="3"/>
      <c r="O30" s="6">
        <v>0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>
        <v>0</v>
      </c>
      <c r="V30" s="3"/>
      <c r="W30" s="3"/>
      <c r="X30" s="7">
        <f>설정!$B$4*H30+설정!$B$5*O30*(1+설정!$B$9*(O30-1))+설정!$B$6*P30*(1+설정!$B$9*(P30-1))+설정!$B$7*Q30*(1+설정!$B$9*(Q30-1))+설정!$B$8*R30*(1+설정!$B$9*(R30-1))</f>
        <v>1413</v>
      </c>
      <c r="Y30" s="7">
        <f>설정!$B$10*(O30*(1+설정!$B$9*(O30-1))+P30*(1+설정!$B$9*(P30-1)))</f>
        <v>0</v>
      </c>
      <c r="Z30" s="7">
        <f t="shared" si="0"/>
        <v>-27.1</v>
      </c>
      <c r="AA30" s="7">
        <f>X30*설정!$B$11</f>
        <v>141.30000000000001</v>
      </c>
      <c r="AB30" s="3"/>
    </row>
    <row r="31" spans="1:28">
      <c r="A31" s="3" t="s">
        <v>154</v>
      </c>
      <c r="B31" s="4" t="s">
        <v>155</v>
      </c>
      <c r="C31" s="4" t="s">
        <v>136</v>
      </c>
      <c r="D31" s="4" t="s">
        <v>31</v>
      </c>
      <c r="E31" s="4" t="s">
        <v>156</v>
      </c>
      <c r="F31" s="4" t="s">
        <v>33</v>
      </c>
      <c r="G31" s="4" t="s">
        <v>138</v>
      </c>
      <c r="H31" s="5">
        <v>26</v>
      </c>
      <c r="I31" s="3" t="s">
        <v>157</v>
      </c>
      <c r="J31" s="3" t="s">
        <v>36</v>
      </c>
      <c r="K31" s="3" t="s">
        <v>37</v>
      </c>
      <c r="L31" s="3"/>
      <c r="M31" s="3"/>
      <c r="N31" s="3"/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>
        <v>0</v>
      </c>
      <c r="V31" s="3"/>
      <c r="W31" s="3"/>
      <c r="X31" s="7">
        <f>설정!$B$4*H31+설정!$B$5*O31*(1+설정!$B$9*(O31-1))+설정!$B$6*P31*(1+설정!$B$9*(P31-1))+설정!$B$7*Q31*(1+설정!$B$9*(Q31-1))+설정!$B$8*R31*(1+설정!$B$9*(R31-1))</f>
        <v>1380</v>
      </c>
      <c r="Y31" s="7">
        <f>설정!$B$10*(O31*(1+설정!$B$9*(O31-1))+P31*(1+설정!$B$9*(P31-1)))</f>
        <v>0</v>
      </c>
      <c r="Z31" s="7">
        <f t="shared" si="0"/>
        <v>-26</v>
      </c>
      <c r="AA31" s="7">
        <f>X31*설정!$B$11</f>
        <v>138</v>
      </c>
      <c r="AB31" s="3"/>
    </row>
    <row r="32" spans="1:28">
      <c r="A32" s="3" t="s">
        <v>158</v>
      </c>
      <c r="B32" s="4" t="s">
        <v>159</v>
      </c>
      <c r="C32" s="4" t="s">
        <v>136</v>
      </c>
      <c r="D32" s="4" t="s">
        <v>31</v>
      </c>
      <c r="E32" s="4" t="s">
        <v>160</v>
      </c>
      <c r="F32" s="4" t="s">
        <v>33</v>
      </c>
      <c r="G32" s="4" t="s">
        <v>138</v>
      </c>
      <c r="H32" s="5">
        <v>25.5</v>
      </c>
      <c r="I32" s="3" t="s">
        <v>161</v>
      </c>
      <c r="J32" s="3" t="s">
        <v>36</v>
      </c>
      <c r="K32" s="3" t="s">
        <v>140</v>
      </c>
      <c r="L32" s="4" t="s">
        <v>141</v>
      </c>
      <c r="M32" s="3"/>
      <c r="N32" s="3"/>
      <c r="O32" s="6">
        <v>0</v>
      </c>
      <c r="P32" s="6">
        <v>1</v>
      </c>
      <c r="Q32" s="6">
        <v>0</v>
      </c>
      <c r="R32" s="6">
        <v>1</v>
      </c>
      <c r="S32" s="6">
        <v>0</v>
      </c>
      <c r="T32" s="6">
        <v>0</v>
      </c>
      <c r="U32" s="6">
        <v>0</v>
      </c>
      <c r="V32" s="3"/>
      <c r="W32" s="3"/>
      <c r="X32" s="7">
        <f>설정!$B$4*H32+설정!$B$5*O32*(1+설정!$B$9*(O32-1))+설정!$B$6*P32*(1+설정!$B$9*(P32-1))+설정!$B$7*Q32*(1+설정!$B$9*(Q32-1))+설정!$B$8*R32*(1+설정!$B$9*(R32-1))</f>
        <v>1515</v>
      </c>
      <c r="Y32" s="7">
        <f>설정!$B$10*(O32*(1+설정!$B$9*(O32-1))+P32*(1+설정!$B$9*(P32-1)))</f>
        <v>15</v>
      </c>
      <c r="Z32" s="7">
        <f t="shared" si="0"/>
        <v>-10.5</v>
      </c>
      <c r="AA32" s="7">
        <f>X32*설정!$B$11</f>
        <v>151.5</v>
      </c>
      <c r="AB32" s="3"/>
    </row>
    <row r="33" spans="1:28">
      <c r="A33" s="3" t="s">
        <v>162</v>
      </c>
      <c r="B33" s="4" t="s">
        <v>163</v>
      </c>
      <c r="C33" s="4" t="s">
        <v>136</v>
      </c>
      <c r="D33" s="4" t="s">
        <v>31</v>
      </c>
      <c r="E33" s="4" t="s">
        <v>164</v>
      </c>
      <c r="F33" s="4" t="s">
        <v>33</v>
      </c>
      <c r="G33" s="4" t="s">
        <v>138</v>
      </c>
      <c r="H33" s="5">
        <v>21.2</v>
      </c>
      <c r="I33" s="3" t="s">
        <v>165</v>
      </c>
      <c r="J33" s="3" t="s">
        <v>36</v>
      </c>
      <c r="K33" s="3" t="s">
        <v>37</v>
      </c>
      <c r="L33" s="3"/>
      <c r="M33" s="3"/>
      <c r="N33" s="3"/>
      <c r="O33" s="6">
        <v>0</v>
      </c>
      <c r="P33" s="6">
        <v>0</v>
      </c>
      <c r="Q33" s="6">
        <v>0</v>
      </c>
      <c r="R33" s="6">
        <v>1</v>
      </c>
      <c r="S33" s="6">
        <v>0</v>
      </c>
      <c r="T33" s="6">
        <v>0</v>
      </c>
      <c r="U33" s="6">
        <v>0</v>
      </c>
      <c r="V33" s="3"/>
      <c r="W33" s="3"/>
      <c r="X33" s="7">
        <f>설정!$B$4*H33+설정!$B$5*O33*(1+설정!$B$9*(O33-1))+설정!$B$6*P33*(1+설정!$B$9*(P33-1))+설정!$B$7*Q33*(1+설정!$B$9*(Q33-1))+설정!$B$8*R33*(1+설정!$B$9*(R33-1))</f>
        <v>1236</v>
      </c>
      <c r="Y33" s="7">
        <f>설정!$B$10*(O33*(1+설정!$B$9*(O33-1))+P33*(1+설정!$B$9*(P33-1)))</f>
        <v>0</v>
      </c>
      <c r="Z33" s="7">
        <f t="shared" si="0"/>
        <v>-21.2</v>
      </c>
      <c r="AA33" s="7">
        <f>X33*설정!$B$11</f>
        <v>123.60000000000001</v>
      </c>
      <c r="AB33" s="3"/>
    </row>
    <row r="34" spans="1:28">
      <c r="A34" s="3" t="s">
        <v>166</v>
      </c>
      <c r="B34" s="4" t="s">
        <v>167</v>
      </c>
      <c r="C34" s="4" t="s">
        <v>136</v>
      </c>
      <c r="D34" s="4" t="s">
        <v>31</v>
      </c>
      <c r="E34" s="4" t="s">
        <v>168</v>
      </c>
      <c r="F34" s="4" t="s">
        <v>33</v>
      </c>
      <c r="G34" s="4" t="s">
        <v>138</v>
      </c>
      <c r="H34" s="5">
        <v>20.5</v>
      </c>
      <c r="I34" s="3" t="s">
        <v>169</v>
      </c>
      <c r="J34" s="3" t="s">
        <v>36</v>
      </c>
      <c r="K34" s="3" t="s">
        <v>37</v>
      </c>
      <c r="L34" s="3"/>
      <c r="M34" s="3"/>
      <c r="N34" s="3"/>
      <c r="O34" s="6">
        <v>0</v>
      </c>
      <c r="P34" s="6">
        <v>0</v>
      </c>
      <c r="Q34" s="6">
        <v>0</v>
      </c>
      <c r="R34" s="6">
        <v>1</v>
      </c>
      <c r="S34" s="6">
        <v>0</v>
      </c>
      <c r="T34" s="6">
        <v>0</v>
      </c>
      <c r="U34" s="6">
        <v>0</v>
      </c>
      <c r="V34" s="3"/>
      <c r="W34" s="3"/>
      <c r="X34" s="7">
        <f>설정!$B$4*H34+설정!$B$5*O34*(1+설정!$B$9*(O34-1))+설정!$B$6*P34*(1+설정!$B$9*(P34-1))+설정!$B$7*Q34*(1+설정!$B$9*(Q34-1))+설정!$B$8*R34*(1+설정!$B$9*(R34-1))</f>
        <v>1215</v>
      </c>
      <c r="Y34" s="7">
        <f>설정!$B$10*(O34*(1+설정!$B$9*(O34-1))+P34*(1+설정!$B$9*(P34-1)))</f>
        <v>0</v>
      </c>
      <c r="Z34" s="7">
        <f t="shared" si="0"/>
        <v>-20.5</v>
      </c>
      <c r="AA34" s="7">
        <f>X34*설정!$B$11</f>
        <v>121.5</v>
      </c>
      <c r="AB34" s="3"/>
    </row>
    <row r="35" spans="1:28">
      <c r="A35" s="3" t="s">
        <v>170</v>
      </c>
      <c r="B35" s="4" t="s">
        <v>171</v>
      </c>
      <c r="C35" s="4" t="s">
        <v>136</v>
      </c>
      <c r="D35" s="4" t="s">
        <v>31</v>
      </c>
      <c r="E35" s="4" t="s">
        <v>172</v>
      </c>
      <c r="F35" s="4" t="s">
        <v>33</v>
      </c>
      <c r="G35" s="4" t="s">
        <v>138</v>
      </c>
      <c r="H35" s="5">
        <v>19.2</v>
      </c>
      <c r="I35" s="3" t="s">
        <v>173</v>
      </c>
      <c r="J35" s="3" t="s">
        <v>36</v>
      </c>
      <c r="K35" s="3" t="s">
        <v>37</v>
      </c>
      <c r="L35" s="3"/>
      <c r="M35" s="3"/>
      <c r="N35" s="3"/>
      <c r="O35" s="6">
        <v>0</v>
      </c>
      <c r="P35" s="6">
        <v>0</v>
      </c>
      <c r="Q35" s="6">
        <v>1</v>
      </c>
      <c r="R35" s="6">
        <v>1</v>
      </c>
      <c r="S35" s="6">
        <v>0</v>
      </c>
      <c r="T35" s="6">
        <v>0</v>
      </c>
      <c r="U35" s="6">
        <v>0</v>
      </c>
      <c r="V35" s="3"/>
      <c r="W35" s="3"/>
      <c r="X35" s="7">
        <f>설정!$B$4*H35+설정!$B$5*O35*(1+설정!$B$9*(O35-1))+설정!$B$6*P35*(1+설정!$B$9*(P35-1))+설정!$B$7*Q35*(1+설정!$B$9*(Q35-1))+설정!$B$8*R35*(1+설정!$B$9*(R35-1))</f>
        <v>2176</v>
      </c>
      <c r="Y35" s="7">
        <f>설정!$B$10*(O35*(1+설정!$B$9*(O35-1))+P35*(1+설정!$B$9*(P35-1)))</f>
        <v>0</v>
      </c>
      <c r="Z35" s="7">
        <f t="shared" si="0"/>
        <v>-19.2</v>
      </c>
      <c r="AA35" s="7">
        <f>X35*설정!$B$11</f>
        <v>217.60000000000002</v>
      </c>
      <c r="AB35" s="3"/>
    </row>
    <row r="36" spans="1:28">
      <c r="A36" s="3" t="s">
        <v>174</v>
      </c>
      <c r="B36" s="4" t="s">
        <v>175</v>
      </c>
      <c r="C36" s="4" t="s">
        <v>136</v>
      </c>
      <c r="D36" s="4" t="s">
        <v>31</v>
      </c>
      <c r="E36" s="4" t="s">
        <v>176</v>
      </c>
      <c r="F36" s="4" t="s">
        <v>177</v>
      </c>
      <c r="G36" s="4" t="s">
        <v>138</v>
      </c>
      <c r="H36" s="5">
        <v>17.5</v>
      </c>
      <c r="I36" s="3" t="s">
        <v>178</v>
      </c>
      <c r="J36" s="3" t="s">
        <v>36</v>
      </c>
      <c r="K36" s="3" t="s">
        <v>140</v>
      </c>
      <c r="L36" s="4" t="s">
        <v>179</v>
      </c>
      <c r="M36" s="3"/>
      <c r="N36" s="3"/>
      <c r="O36" s="6">
        <v>1</v>
      </c>
      <c r="P36" s="6">
        <v>2</v>
      </c>
      <c r="Q36" s="6">
        <v>1</v>
      </c>
      <c r="R36" s="6">
        <v>1</v>
      </c>
      <c r="S36" s="6">
        <v>0</v>
      </c>
      <c r="T36" s="6">
        <v>0</v>
      </c>
      <c r="U36" s="6">
        <v>3</v>
      </c>
      <c r="V36" s="4" t="s">
        <v>180</v>
      </c>
      <c r="W36" s="4" t="s">
        <v>181</v>
      </c>
      <c r="X36" s="7">
        <f>설정!$B$4*H36+설정!$B$5*O36*(1+설정!$B$9*(O36-1))+설정!$B$6*P36*(1+설정!$B$9*(P36-1))+설정!$B$7*Q36*(1+설정!$B$9*(Q36-1))+설정!$B$8*R36*(1+설정!$B$9*(R36-1))</f>
        <v>2635</v>
      </c>
      <c r="Y36" s="7">
        <f>설정!$B$10*(O36*(1+설정!$B$9*(O36-1))+P36*(1+설정!$B$9*(P36-1)))</f>
        <v>51</v>
      </c>
      <c r="Z36" s="7">
        <f t="shared" si="0"/>
        <v>33.5</v>
      </c>
      <c r="AA36" s="7">
        <f>X36*설정!$B$11</f>
        <v>263.5</v>
      </c>
      <c r="AB36" s="3"/>
    </row>
    <row r="37" spans="1:28">
      <c r="A37" s="3" t="s">
        <v>182</v>
      </c>
      <c r="B37" s="4" t="s">
        <v>183</v>
      </c>
      <c r="C37" s="4" t="s">
        <v>136</v>
      </c>
      <c r="D37" s="4" t="s">
        <v>31</v>
      </c>
      <c r="E37" s="4" t="s">
        <v>184</v>
      </c>
      <c r="F37" s="4" t="s">
        <v>33</v>
      </c>
      <c r="G37" s="4" t="s">
        <v>138</v>
      </c>
      <c r="H37" s="5">
        <v>16.899999999999999</v>
      </c>
      <c r="I37" s="3" t="s">
        <v>185</v>
      </c>
      <c r="J37" s="3" t="s">
        <v>36</v>
      </c>
      <c r="K37" s="3" t="s">
        <v>140</v>
      </c>
      <c r="L37" s="4" t="s">
        <v>141</v>
      </c>
      <c r="M37" s="3"/>
      <c r="N37" s="3"/>
      <c r="O37" s="6">
        <v>0</v>
      </c>
      <c r="P37" s="6">
        <v>1</v>
      </c>
      <c r="Q37" s="6">
        <v>0</v>
      </c>
      <c r="R37" s="6">
        <v>1</v>
      </c>
      <c r="S37" s="6">
        <v>0</v>
      </c>
      <c r="T37" s="6">
        <v>0</v>
      </c>
      <c r="U37" s="6">
        <v>0</v>
      </c>
      <c r="V37" s="3"/>
      <c r="W37" s="3"/>
      <c r="X37" s="7">
        <f>설정!$B$4*H37+설정!$B$5*O37*(1+설정!$B$9*(O37-1))+설정!$B$6*P37*(1+설정!$B$9*(P37-1))+설정!$B$7*Q37*(1+설정!$B$9*(Q37-1))+설정!$B$8*R37*(1+설정!$B$9*(R37-1))</f>
        <v>1257</v>
      </c>
      <c r="Y37" s="7">
        <f>설정!$B$10*(O37*(1+설정!$B$9*(O37-1))+P37*(1+설정!$B$9*(P37-1)))</f>
        <v>15</v>
      </c>
      <c r="Z37" s="7">
        <f t="shared" si="0"/>
        <v>-1.8999999999999986</v>
      </c>
      <c r="AA37" s="7">
        <f>X37*설정!$B$11</f>
        <v>125.7</v>
      </c>
      <c r="AB37" s="3"/>
    </row>
    <row r="38" spans="1:28">
      <c r="A38" s="3" t="s">
        <v>186</v>
      </c>
      <c r="B38" s="4" t="s">
        <v>187</v>
      </c>
      <c r="C38" s="4" t="s">
        <v>136</v>
      </c>
      <c r="D38" s="4" t="s">
        <v>31</v>
      </c>
      <c r="E38" s="4" t="s">
        <v>188</v>
      </c>
      <c r="F38" s="4" t="s">
        <v>33</v>
      </c>
      <c r="G38" s="4" t="s">
        <v>138</v>
      </c>
      <c r="H38" s="5">
        <v>15.5</v>
      </c>
      <c r="I38" s="3" t="s">
        <v>189</v>
      </c>
      <c r="J38" s="3" t="s">
        <v>36</v>
      </c>
      <c r="K38" s="3" t="s">
        <v>140</v>
      </c>
      <c r="L38" s="4" t="s">
        <v>141</v>
      </c>
      <c r="M38" s="3"/>
      <c r="N38" s="3"/>
      <c r="O38" s="6">
        <v>1</v>
      </c>
      <c r="P38" s="6">
        <v>1</v>
      </c>
      <c r="Q38" s="6">
        <v>2</v>
      </c>
      <c r="R38" s="6">
        <v>1</v>
      </c>
      <c r="S38" s="6">
        <v>0</v>
      </c>
      <c r="T38" s="6">
        <v>0</v>
      </c>
      <c r="U38" s="6">
        <v>0</v>
      </c>
      <c r="V38" s="3"/>
      <c r="W38" s="4" t="s">
        <v>190</v>
      </c>
      <c r="X38" s="7">
        <f>설정!$B$4*H38+설정!$B$5*O38*(1+설정!$B$9*(O38-1))+설정!$B$6*P38*(1+설정!$B$9*(P38-1))+설정!$B$7*Q38*(1+설정!$B$9*(Q38-1))+설정!$B$8*R38*(1+설정!$B$9*(R38-1))</f>
        <v>3765</v>
      </c>
      <c r="Y38" s="7">
        <f>설정!$B$10*(O38*(1+설정!$B$9*(O38-1))+P38*(1+설정!$B$9*(P38-1)))</f>
        <v>30</v>
      </c>
      <c r="Z38" s="7">
        <f t="shared" si="0"/>
        <v>14.5</v>
      </c>
      <c r="AA38" s="7">
        <f>X38*설정!$B$11</f>
        <v>376.5</v>
      </c>
      <c r="AB38" s="3"/>
    </row>
    <row r="39" spans="1:28" ht="15.75">
      <c r="A39" s="3" t="s">
        <v>191</v>
      </c>
      <c r="B39" s="4" t="s">
        <v>192</v>
      </c>
      <c r="C39" s="4" t="s">
        <v>136</v>
      </c>
      <c r="D39" s="4" t="s">
        <v>31</v>
      </c>
      <c r="E39" s="4" t="s">
        <v>193</v>
      </c>
      <c r="F39" s="4" t="s">
        <v>33</v>
      </c>
      <c r="G39" s="4" t="s">
        <v>138</v>
      </c>
      <c r="H39" s="5">
        <v>10.1</v>
      </c>
      <c r="I39" s="3" t="s">
        <v>194</v>
      </c>
      <c r="J39" s="3" t="s">
        <v>36</v>
      </c>
      <c r="K39" s="3" t="s">
        <v>140</v>
      </c>
      <c r="L39" s="4" t="s">
        <v>141</v>
      </c>
      <c r="M39" s="3"/>
      <c r="N39" s="3"/>
      <c r="O39" s="6">
        <v>0</v>
      </c>
      <c r="P39" s="6">
        <v>2</v>
      </c>
      <c r="Q39" s="6">
        <v>0</v>
      </c>
      <c r="R39" s="6">
        <v>1</v>
      </c>
      <c r="S39" s="6">
        <v>0</v>
      </c>
      <c r="T39" s="6">
        <v>0</v>
      </c>
      <c r="U39" s="6">
        <v>0</v>
      </c>
      <c r="V39" s="3"/>
      <c r="W39" s="27" t="s">
        <v>2127</v>
      </c>
      <c r="X39" s="7">
        <f>설정!$B$4*H39+설정!$B$5*O39*(1+설정!$B$9*(O39-1))+설정!$B$6*P39*(1+설정!$B$9*(P39-1))+설정!$B$7*Q39*(1+설정!$B$9*(Q39-1))+설정!$B$8*R39*(1+설정!$B$9*(R39-1))</f>
        <v>1263</v>
      </c>
      <c r="Y39" s="7">
        <f>설정!$B$10*(O39*(1+설정!$B$9*(O39-1))+P39*(1+설정!$B$9*(P39-1)))</f>
        <v>36</v>
      </c>
      <c r="Z39" s="7">
        <f t="shared" si="0"/>
        <v>25.9</v>
      </c>
      <c r="AA39" s="7">
        <f>X39*설정!$B$11</f>
        <v>126.30000000000001</v>
      </c>
      <c r="AB39" s="3"/>
    </row>
    <row r="40" spans="1:28">
      <c r="A40" s="3" t="s">
        <v>195</v>
      </c>
      <c r="B40" s="4" t="s">
        <v>196</v>
      </c>
      <c r="C40" s="4" t="s">
        <v>136</v>
      </c>
      <c r="D40" s="4" t="s">
        <v>31</v>
      </c>
      <c r="E40" s="4" t="s">
        <v>197</v>
      </c>
      <c r="F40" s="4" t="s">
        <v>33</v>
      </c>
      <c r="G40" s="4" t="s">
        <v>138</v>
      </c>
      <c r="H40" s="5">
        <v>10</v>
      </c>
      <c r="I40" s="3" t="s">
        <v>198</v>
      </c>
      <c r="J40" s="3" t="s">
        <v>36</v>
      </c>
      <c r="K40" s="3" t="s">
        <v>140</v>
      </c>
      <c r="L40" s="4" t="s">
        <v>141</v>
      </c>
      <c r="M40" s="4" t="s">
        <v>199</v>
      </c>
      <c r="N40" s="3"/>
      <c r="O40" s="6">
        <v>0</v>
      </c>
      <c r="P40" s="6">
        <v>1</v>
      </c>
      <c r="Q40" s="6">
        <v>0</v>
      </c>
      <c r="R40" s="6">
        <v>1</v>
      </c>
      <c r="S40" s="6">
        <v>0</v>
      </c>
      <c r="T40" s="6">
        <v>0</v>
      </c>
      <c r="U40" s="6">
        <v>0</v>
      </c>
      <c r="V40" s="3"/>
      <c r="W40" s="3"/>
      <c r="X40" s="7">
        <f>설정!$B$4*H40+설정!$B$5*O40*(1+설정!$B$9*(O40-1))+설정!$B$6*P40*(1+설정!$B$9*(P40-1))+설정!$B$7*Q40*(1+설정!$B$9*(Q40-1))+설정!$B$8*R40*(1+설정!$B$9*(R40-1))</f>
        <v>1050</v>
      </c>
      <c r="Y40" s="7">
        <f>설정!$B$10*(O40*(1+설정!$B$9*(O40-1))+P40*(1+설정!$B$9*(P40-1)))</f>
        <v>15</v>
      </c>
      <c r="Z40" s="7">
        <f t="shared" si="0"/>
        <v>5</v>
      </c>
      <c r="AA40" s="7">
        <f>X40*설정!$B$11</f>
        <v>105</v>
      </c>
      <c r="AB40" s="3"/>
    </row>
    <row r="41" spans="1:28">
      <c r="A41" s="3" t="s">
        <v>200</v>
      </c>
      <c r="B41" s="4" t="s">
        <v>201</v>
      </c>
      <c r="C41" s="4" t="s">
        <v>136</v>
      </c>
      <c r="D41" s="4" t="s">
        <v>31</v>
      </c>
      <c r="E41" s="4" t="s">
        <v>202</v>
      </c>
      <c r="F41" s="4" t="s">
        <v>33</v>
      </c>
      <c r="G41" s="4" t="s">
        <v>138</v>
      </c>
      <c r="H41" s="5">
        <v>8.3000000000000007</v>
      </c>
      <c r="I41" s="3" t="s">
        <v>203</v>
      </c>
      <c r="J41" s="3" t="s">
        <v>36</v>
      </c>
      <c r="K41" s="3" t="s">
        <v>140</v>
      </c>
      <c r="L41" s="4" t="s">
        <v>141</v>
      </c>
      <c r="M41" s="3"/>
      <c r="N41" s="3"/>
      <c r="O41" s="6">
        <v>0</v>
      </c>
      <c r="P41" s="6">
        <v>1</v>
      </c>
      <c r="Q41" s="6">
        <v>0</v>
      </c>
      <c r="R41" s="6">
        <v>1</v>
      </c>
      <c r="S41" s="6">
        <v>0</v>
      </c>
      <c r="T41" s="6">
        <v>0</v>
      </c>
      <c r="U41" s="6">
        <v>0</v>
      </c>
      <c r="V41" s="3"/>
      <c r="W41" s="3"/>
      <c r="X41" s="7">
        <f>설정!$B$4*H41+설정!$B$5*O41*(1+설정!$B$9*(O41-1))+설정!$B$6*P41*(1+설정!$B$9*(P41-1))+설정!$B$7*Q41*(1+설정!$B$9*(Q41-1))+설정!$B$8*R41*(1+설정!$B$9*(R41-1))</f>
        <v>999</v>
      </c>
      <c r="Y41" s="7">
        <f>설정!$B$10*(O41*(1+설정!$B$9*(O41-1))+P41*(1+설정!$B$9*(P41-1)))</f>
        <v>15</v>
      </c>
      <c r="Z41" s="7">
        <f t="shared" si="0"/>
        <v>6.6999999999999993</v>
      </c>
      <c r="AA41" s="7">
        <f>X41*설정!$B$11</f>
        <v>99.9</v>
      </c>
      <c r="AB41" s="3"/>
    </row>
    <row r="42" spans="1:28">
      <c r="A42" s="3" t="s">
        <v>204</v>
      </c>
      <c r="B42" s="4" t="s">
        <v>205</v>
      </c>
      <c r="C42" s="4" t="s">
        <v>136</v>
      </c>
      <c r="D42" s="4" t="s">
        <v>31</v>
      </c>
      <c r="E42" s="4" t="s">
        <v>206</v>
      </c>
      <c r="F42" s="4" t="s">
        <v>33</v>
      </c>
      <c r="G42" s="4" t="s">
        <v>138</v>
      </c>
      <c r="H42" s="5">
        <v>3.6</v>
      </c>
      <c r="I42" s="3" t="s">
        <v>207</v>
      </c>
      <c r="J42" s="3" t="s">
        <v>36</v>
      </c>
      <c r="K42" s="3" t="s">
        <v>140</v>
      </c>
      <c r="L42" s="4" t="s">
        <v>141</v>
      </c>
      <c r="M42" s="3"/>
      <c r="N42" s="3"/>
      <c r="O42" s="6">
        <v>0</v>
      </c>
      <c r="P42" s="6">
        <v>1</v>
      </c>
      <c r="Q42" s="6">
        <v>0</v>
      </c>
      <c r="R42" s="6">
        <v>2</v>
      </c>
      <c r="S42" s="6">
        <v>0</v>
      </c>
      <c r="T42" s="6">
        <v>0</v>
      </c>
      <c r="U42" s="6">
        <v>0</v>
      </c>
      <c r="V42" s="3"/>
      <c r="W42" s="3"/>
      <c r="X42" s="7">
        <f>설정!$B$4*H42+설정!$B$5*O42*(1+설정!$B$9*(O42-1))+설정!$B$6*P42*(1+설정!$B$9*(P42-1))+설정!$B$7*Q42*(1+설정!$B$9*(Q42-1))+설정!$B$8*R42*(1+설정!$B$9*(R42-1))</f>
        <v>1698</v>
      </c>
      <c r="Y42" s="7">
        <f>설정!$B$10*(O42*(1+설정!$B$9*(O42-1))+P42*(1+설정!$B$9*(P42-1)))</f>
        <v>15</v>
      </c>
      <c r="Z42" s="7">
        <f t="shared" si="0"/>
        <v>11.4</v>
      </c>
      <c r="AA42" s="7">
        <f>X42*설정!$B$11</f>
        <v>169.8</v>
      </c>
      <c r="AB42" s="3"/>
    </row>
    <row r="43" spans="1:28">
      <c r="A43" s="3" t="s">
        <v>208</v>
      </c>
      <c r="B43" s="4" t="s">
        <v>209</v>
      </c>
      <c r="C43" s="4" t="s">
        <v>210</v>
      </c>
      <c r="D43" s="4" t="s">
        <v>31</v>
      </c>
      <c r="E43" s="4" t="s">
        <v>211</v>
      </c>
      <c r="F43" s="4" t="s">
        <v>33</v>
      </c>
      <c r="G43" s="4" t="s">
        <v>138</v>
      </c>
      <c r="H43" s="5">
        <v>51.3</v>
      </c>
      <c r="I43" s="3" t="s">
        <v>212</v>
      </c>
      <c r="J43" s="3" t="s">
        <v>36</v>
      </c>
      <c r="K43" s="3" t="s">
        <v>37</v>
      </c>
      <c r="L43" s="3"/>
      <c r="M43" s="3"/>
      <c r="N43" s="3"/>
      <c r="O43" s="6">
        <v>0</v>
      </c>
      <c r="P43" s="6">
        <v>0</v>
      </c>
      <c r="Q43" s="6">
        <v>1</v>
      </c>
      <c r="R43" s="6">
        <v>1</v>
      </c>
      <c r="S43" s="6">
        <v>0</v>
      </c>
      <c r="T43" s="6">
        <v>0</v>
      </c>
      <c r="U43" s="6">
        <v>0</v>
      </c>
      <c r="V43" s="3"/>
      <c r="W43" s="3"/>
      <c r="X43" s="7">
        <f>설정!$B$4*H43+설정!$B$5*O43*(1+설정!$B$9*(O43-1))+설정!$B$6*P43*(1+설정!$B$9*(P43-1))+설정!$B$7*Q43*(1+설정!$B$9*(Q43-1))+설정!$B$8*R43*(1+설정!$B$9*(R43-1))</f>
        <v>3139</v>
      </c>
      <c r="Y43" s="7">
        <f>설정!$B$10*(O43*(1+설정!$B$9*(O43-1))+P43*(1+설정!$B$9*(P43-1)))</f>
        <v>0</v>
      </c>
      <c r="Z43" s="7">
        <f t="shared" si="0"/>
        <v>-51.3</v>
      </c>
      <c r="AA43" s="7">
        <f>X43*설정!$B$11</f>
        <v>313.90000000000003</v>
      </c>
      <c r="AB43" s="3"/>
    </row>
    <row r="44" spans="1:28">
      <c r="A44" s="3" t="s">
        <v>213</v>
      </c>
      <c r="B44" s="4" t="s">
        <v>214</v>
      </c>
      <c r="C44" s="4" t="s">
        <v>210</v>
      </c>
      <c r="D44" s="4" t="s">
        <v>31</v>
      </c>
      <c r="E44" s="4" t="s">
        <v>215</v>
      </c>
      <c r="F44" s="4" t="s">
        <v>33</v>
      </c>
      <c r="G44" s="4" t="s">
        <v>138</v>
      </c>
      <c r="H44" s="5">
        <v>40.799999999999997</v>
      </c>
      <c r="I44" s="3" t="s">
        <v>216</v>
      </c>
      <c r="J44" s="3" t="s">
        <v>36</v>
      </c>
      <c r="K44" s="3" t="s">
        <v>37</v>
      </c>
      <c r="L44" s="3"/>
      <c r="M44" s="3"/>
      <c r="N44" s="3"/>
      <c r="O44" s="6">
        <v>0</v>
      </c>
      <c r="P44" s="6">
        <v>0</v>
      </c>
      <c r="Q44" s="6">
        <v>0</v>
      </c>
      <c r="R44" s="6">
        <v>2</v>
      </c>
      <c r="S44" s="6">
        <v>0</v>
      </c>
      <c r="T44" s="6">
        <v>0</v>
      </c>
      <c r="U44" s="6">
        <v>0</v>
      </c>
      <c r="V44" s="3"/>
      <c r="W44" s="3"/>
      <c r="X44" s="7">
        <f>설정!$B$4*H44+설정!$B$5*O44*(1+설정!$B$9*(O44-1))+설정!$B$6*P44*(1+설정!$B$9*(P44-1))+설정!$B$7*Q44*(1+설정!$B$9*(Q44-1))+설정!$B$8*R44*(1+설정!$B$9*(R44-1))</f>
        <v>2664</v>
      </c>
      <c r="Y44" s="7">
        <f>설정!$B$10*(O44*(1+설정!$B$9*(O44-1))+P44*(1+설정!$B$9*(P44-1)))</f>
        <v>0</v>
      </c>
      <c r="Z44" s="7">
        <f t="shared" si="0"/>
        <v>-40.799999999999997</v>
      </c>
      <c r="AA44" s="7">
        <f>X44*설정!$B$11</f>
        <v>266.40000000000003</v>
      </c>
      <c r="AB44" s="3"/>
    </row>
    <row r="45" spans="1:28">
      <c r="A45" s="3" t="s">
        <v>217</v>
      </c>
      <c r="B45" s="4" t="s">
        <v>218</v>
      </c>
      <c r="C45" s="4" t="s">
        <v>210</v>
      </c>
      <c r="D45" s="4" t="s">
        <v>31</v>
      </c>
      <c r="E45" s="4" t="s">
        <v>219</v>
      </c>
      <c r="F45" s="4" t="s">
        <v>33</v>
      </c>
      <c r="G45" s="4" t="s">
        <v>138</v>
      </c>
      <c r="H45" s="5">
        <v>40.6</v>
      </c>
      <c r="I45" s="3" t="s">
        <v>220</v>
      </c>
      <c r="J45" s="3" t="s">
        <v>36</v>
      </c>
      <c r="K45" s="3" t="s">
        <v>37</v>
      </c>
      <c r="L45" s="3"/>
      <c r="M45" s="3"/>
      <c r="N45" s="3"/>
      <c r="O45" s="6">
        <v>0</v>
      </c>
      <c r="P45" s="6">
        <v>0</v>
      </c>
      <c r="Q45" s="6">
        <v>1</v>
      </c>
      <c r="R45" s="6">
        <v>1</v>
      </c>
      <c r="S45" s="6">
        <v>0</v>
      </c>
      <c r="T45" s="6">
        <v>0</v>
      </c>
      <c r="U45" s="6">
        <v>0</v>
      </c>
      <c r="V45" s="3"/>
      <c r="W45" s="3"/>
      <c r="X45" s="7">
        <f>설정!$B$4*H45+설정!$B$5*O45*(1+설정!$B$9*(O45-1))+설정!$B$6*P45*(1+설정!$B$9*(P45-1))+설정!$B$7*Q45*(1+설정!$B$9*(Q45-1))+설정!$B$8*R45*(1+설정!$B$9*(R45-1))</f>
        <v>2818</v>
      </c>
      <c r="Y45" s="7">
        <f>설정!$B$10*(O45*(1+설정!$B$9*(O45-1))+P45*(1+설정!$B$9*(P45-1)))</f>
        <v>0</v>
      </c>
      <c r="Z45" s="7">
        <f t="shared" si="0"/>
        <v>-40.6</v>
      </c>
      <c r="AA45" s="7">
        <f>X45*설정!$B$11</f>
        <v>281.8</v>
      </c>
      <c r="AB45" s="3"/>
    </row>
    <row r="46" spans="1:28">
      <c r="A46" s="3" t="s">
        <v>221</v>
      </c>
      <c r="B46" s="4" t="s">
        <v>222</v>
      </c>
      <c r="C46" s="4" t="s">
        <v>210</v>
      </c>
      <c r="D46" s="4" t="s">
        <v>31</v>
      </c>
      <c r="E46" s="4" t="s">
        <v>223</v>
      </c>
      <c r="F46" s="4" t="s">
        <v>33</v>
      </c>
      <c r="G46" s="4" t="s">
        <v>138</v>
      </c>
      <c r="H46" s="5">
        <v>33.9</v>
      </c>
      <c r="I46" s="3" t="s">
        <v>224</v>
      </c>
      <c r="J46" s="3" t="s">
        <v>36</v>
      </c>
      <c r="K46" s="3" t="s">
        <v>37</v>
      </c>
      <c r="L46" s="3"/>
      <c r="M46" s="3"/>
      <c r="N46" s="3"/>
      <c r="O46" s="6">
        <v>0</v>
      </c>
      <c r="P46" s="6">
        <v>0</v>
      </c>
      <c r="Q46" s="6">
        <v>0</v>
      </c>
      <c r="R46" s="6">
        <v>1</v>
      </c>
      <c r="S46" s="6">
        <v>0</v>
      </c>
      <c r="T46" s="6">
        <v>0</v>
      </c>
      <c r="U46" s="6">
        <v>0</v>
      </c>
      <c r="V46" s="3"/>
      <c r="W46" s="3"/>
      <c r="X46" s="7">
        <f>설정!$B$4*H46+설정!$B$5*O46*(1+설정!$B$9*(O46-1))+설정!$B$6*P46*(1+설정!$B$9*(P46-1))+설정!$B$7*Q46*(1+설정!$B$9*(Q46-1))+설정!$B$8*R46*(1+설정!$B$9*(R46-1))</f>
        <v>1617</v>
      </c>
      <c r="Y46" s="7">
        <f>설정!$B$10*(O46*(1+설정!$B$9*(O46-1))+P46*(1+설정!$B$9*(P46-1)))</f>
        <v>0</v>
      </c>
      <c r="Z46" s="7">
        <f t="shared" si="0"/>
        <v>-33.9</v>
      </c>
      <c r="AA46" s="7">
        <f>X46*설정!$B$11</f>
        <v>161.70000000000002</v>
      </c>
      <c r="AB46" s="3"/>
    </row>
    <row r="47" spans="1:28">
      <c r="A47" s="3" t="s">
        <v>225</v>
      </c>
      <c r="B47" s="4" t="s">
        <v>226</v>
      </c>
      <c r="C47" s="4" t="s">
        <v>210</v>
      </c>
      <c r="D47" s="4" t="s">
        <v>31</v>
      </c>
      <c r="E47" s="4" t="s">
        <v>227</v>
      </c>
      <c r="F47" s="4" t="s">
        <v>177</v>
      </c>
      <c r="G47" s="4" t="s">
        <v>138</v>
      </c>
      <c r="H47" s="5">
        <v>25.2</v>
      </c>
      <c r="I47" s="3" t="s">
        <v>228</v>
      </c>
      <c r="J47" s="3" t="s">
        <v>36</v>
      </c>
      <c r="K47" s="3" t="s">
        <v>37</v>
      </c>
      <c r="L47" s="3"/>
      <c r="M47" s="3"/>
      <c r="N47" s="3"/>
      <c r="O47" s="6">
        <v>1</v>
      </c>
      <c r="P47" s="6">
        <v>0</v>
      </c>
      <c r="Q47" s="6">
        <v>2</v>
      </c>
      <c r="R47" s="6">
        <v>1</v>
      </c>
      <c r="S47" s="6">
        <v>0</v>
      </c>
      <c r="T47" s="6">
        <v>0</v>
      </c>
      <c r="U47" s="6">
        <v>0</v>
      </c>
      <c r="V47" s="3"/>
      <c r="W47" s="3"/>
      <c r="X47" s="7">
        <f>설정!$B$4*H47+설정!$B$5*O47*(1+설정!$B$9*(O47-1))+설정!$B$6*P47*(1+설정!$B$9*(P47-1))+설정!$B$7*Q47*(1+설정!$B$9*(Q47-1))+설정!$B$8*R47*(1+설정!$B$9*(R47-1))</f>
        <v>3906</v>
      </c>
      <c r="Y47" s="7">
        <f>설정!$B$10*(O47*(1+설정!$B$9*(O47-1))+P47*(1+설정!$B$9*(P47-1)))</f>
        <v>15</v>
      </c>
      <c r="Z47" s="7">
        <f t="shared" si="0"/>
        <v>-10.199999999999999</v>
      </c>
      <c r="AA47" s="7">
        <f>X47*설정!$B$11</f>
        <v>390.6</v>
      </c>
      <c r="AB47" s="3"/>
    </row>
    <row r="48" spans="1:28">
      <c r="A48" s="3" t="s">
        <v>229</v>
      </c>
      <c r="B48" s="4" t="s">
        <v>230</v>
      </c>
      <c r="C48" s="4" t="s">
        <v>210</v>
      </c>
      <c r="D48" s="4" t="s">
        <v>31</v>
      </c>
      <c r="E48" s="4" t="s">
        <v>231</v>
      </c>
      <c r="F48" s="4" t="s">
        <v>33</v>
      </c>
      <c r="G48" s="4" t="s">
        <v>138</v>
      </c>
      <c r="H48" s="5">
        <v>16.3</v>
      </c>
      <c r="I48" s="3" t="s">
        <v>232</v>
      </c>
      <c r="J48" s="3" t="s">
        <v>36</v>
      </c>
      <c r="K48" s="3" t="s">
        <v>37</v>
      </c>
      <c r="L48" s="3"/>
      <c r="M48" s="3"/>
      <c r="N48" s="3"/>
      <c r="O48" s="6">
        <v>0</v>
      </c>
      <c r="P48" s="6">
        <v>0</v>
      </c>
      <c r="Q48" s="6">
        <v>1</v>
      </c>
      <c r="R48" s="6">
        <v>1</v>
      </c>
      <c r="S48" s="6">
        <v>0</v>
      </c>
      <c r="T48" s="6">
        <v>0</v>
      </c>
      <c r="U48" s="6">
        <v>0</v>
      </c>
      <c r="V48" s="3"/>
      <c r="W48" s="3"/>
      <c r="X48" s="7">
        <f>설정!$B$4*H48+설정!$B$5*O48*(1+설정!$B$9*(O48-1))+설정!$B$6*P48*(1+설정!$B$9*(P48-1))+설정!$B$7*Q48*(1+설정!$B$9*(Q48-1))+설정!$B$8*R48*(1+설정!$B$9*(R48-1))</f>
        <v>2089</v>
      </c>
      <c r="Y48" s="7">
        <f>설정!$B$10*(O48*(1+설정!$B$9*(O48-1))+P48*(1+설정!$B$9*(P48-1)))</f>
        <v>0</v>
      </c>
      <c r="Z48" s="7">
        <f t="shared" si="0"/>
        <v>-16.3</v>
      </c>
      <c r="AA48" s="7">
        <f>X48*설정!$B$11</f>
        <v>208.9</v>
      </c>
      <c r="AB48" s="3"/>
    </row>
    <row r="49" spans="1:28">
      <c r="A49" s="3" t="s">
        <v>233</v>
      </c>
      <c r="B49" s="4" t="s">
        <v>234</v>
      </c>
      <c r="C49" s="4" t="s">
        <v>210</v>
      </c>
      <c r="D49" s="4" t="s">
        <v>31</v>
      </c>
      <c r="E49" s="4" t="s">
        <v>235</v>
      </c>
      <c r="F49" s="4" t="s">
        <v>33</v>
      </c>
      <c r="G49" s="4" t="s">
        <v>138</v>
      </c>
      <c r="H49" s="5">
        <v>14.2</v>
      </c>
      <c r="I49" s="3" t="s">
        <v>236</v>
      </c>
      <c r="J49" s="3" t="s">
        <v>36</v>
      </c>
      <c r="K49" s="3" t="s">
        <v>37</v>
      </c>
      <c r="L49" s="3"/>
      <c r="M49" s="3"/>
      <c r="N49" s="3"/>
      <c r="O49" s="6">
        <v>0</v>
      </c>
      <c r="P49" s="6">
        <v>0</v>
      </c>
      <c r="Q49" s="6">
        <v>0</v>
      </c>
      <c r="R49" s="6">
        <v>1</v>
      </c>
      <c r="S49" s="6">
        <v>0</v>
      </c>
      <c r="T49" s="6">
        <v>0</v>
      </c>
      <c r="U49" s="6">
        <v>0</v>
      </c>
      <c r="V49" s="3"/>
      <c r="W49" s="3"/>
      <c r="X49" s="7">
        <f>설정!$B$4*H49+설정!$B$5*O49*(1+설정!$B$9*(O49-1))+설정!$B$6*P49*(1+설정!$B$9*(P49-1))+설정!$B$7*Q49*(1+설정!$B$9*(Q49-1))+설정!$B$8*R49*(1+설정!$B$9*(R49-1))</f>
        <v>1026</v>
      </c>
      <c r="Y49" s="7">
        <f>설정!$B$10*(O49*(1+설정!$B$9*(O49-1))+P49*(1+설정!$B$9*(P49-1)))</f>
        <v>0</v>
      </c>
      <c r="Z49" s="7">
        <f t="shared" si="0"/>
        <v>-14.2</v>
      </c>
      <c r="AA49" s="7">
        <f>X49*설정!$B$11</f>
        <v>102.60000000000001</v>
      </c>
      <c r="AB49" s="3"/>
    </row>
    <row r="50" spans="1:28">
      <c r="A50" s="3" t="s">
        <v>237</v>
      </c>
      <c r="B50" s="4" t="s">
        <v>238</v>
      </c>
      <c r="C50" s="4" t="s">
        <v>210</v>
      </c>
      <c r="D50" s="4" t="s">
        <v>31</v>
      </c>
      <c r="E50" s="4" t="s">
        <v>239</v>
      </c>
      <c r="F50" s="4" t="s">
        <v>33</v>
      </c>
      <c r="G50" s="4" t="s">
        <v>138</v>
      </c>
      <c r="H50" s="5">
        <v>10.199999999999999</v>
      </c>
      <c r="I50" s="3" t="s">
        <v>240</v>
      </c>
      <c r="J50" s="3" t="s">
        <v>36</v>
      </c>
      <c r="K50" s="3" t="s">
        <v>37</v>
      </c>
      <c r="L50" s="3"/>
      <c r="M50" s="3"/>
      <c r="N50" s="3"/>
      <c r="O50" s="6">
        <v>0</v>
      </c>
      <c r="P50" s="6">
        <v>0</v>
      </c>
      <c r="Q50" s="6">
        <v>0</v>
      </c>
      <c r="R50" s="6">
        <v>2</v>
      </c>
      <c r="S50" s="6">
        <v>0</v>
      </c>
      <c r="T50" s="6">
        <v>0</v>
      </c>
      <c r="U50" s="6">
        <v>0</v>
      </c>
      <c r="V50" s="3"/>
      <c r="W50" s="3"/>
      <c r="X50" s="7">
        <f>설정!$B$4*H50+설정!$B$5*O50*(1+설정!$B$9*(O50-1))+설정!$B$6*P50*(1+설정!$B$9*(P50-1))+설정!$B$7*Q50*(1+설정!$B$9*(Q50-1))+설정!$B$8*R50*(1+설정!$B$9*(R50-1))</f>
        <v>1746</v>
      </c>
      <c r="Y50" s="7">
        <f>설정!$B$10*(O50*(1+설정!$B$9*(O50-1))+P50*(1+설정!$B$9*(P50-1)))</f>
        <v>0</v>
      </c>
      <c r="Z50" s="7">
        <f t="shared" si="0"/>
        <v>-10.199999999999999</v>
      </c>
      <c r="AA50" s="7">
        <f>X50*설정!$B$11</f>
        <v>174.60000000000002</v>
      </c>
      <c r="AB50" s="3"/>
    </row>
    <row r="51" spans="1:28">
      <c r="A51" s="3" t="s">
        <v>241</v>
      </c>
      <c r="B51" s="4" t="s">
        <v>242</v>
      </c>
      <c r="C51" s="4" t="s">
        <v>210</v>
      </c>
      <c r="D51" s="4" t="s">
        <v>31</v>
      </c>
      <c r="E51" s="4" t="s">
        <v>243</v>
      </c>
      <c r="F51" s="4" t="s">
        <v>177</v>
      </c>
      <c r="G51" s="4" t="s">
        <v>138</v>
      </c>
      <c r="H51" s="5">
        <v>2.2000000000000002</v>
      </c>
      <c r="I51" s="3" t="s">
        <v>244</v>
      </c>
      <c r="J51" s="3" t="s">
        <v>36</v>
      </c>
      <c r="K51" s="3" t="s">
        <v>37</v>
      </c>
      <c r="L51" s="3"/>
      <c r="M51" s="3"/>
      <c r="N51" s="3"/>
      <c r="O51" s="6">
        <v>2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>
        <v>0</v>
      </c>
      <c r="V51" s="3"/>
      <c r="W51" s="4"/>
      <c r="X51" s="7">
        <f>설정!$B$4*H51+설정!$B$5*O51*(1+설정!$B$9*(O51-1))+설정!$B$6*P51*(1+설정!$B$9*(P51-1))+설정!$B$7*Q51*(1+설정!$B$9*(Q51-1))+설정!$B$8*R51*(1+설정!$B$9*(R51-1))</f>
        <v>1426</v>
      </c>
      <c r="Y51" s="7">
        <f>설정!$B$10*(O51*(1+설정!$B$9*(O51-1))+P51*(1+설정!$B$9*(P51-1)))</f>
        <v>36</v>
      </c>
      <c r="Z51" s="7">
        <f t="shared" si="0"/>
        <v>33.799999999999997</v>
      </c>
      <c r="AA51" s="7">
        <f>X51*설정!$B$11</f>
        <v>142.6</v>
      </c>
      <c r="AB51" s="3"/>
    </row>
    <row r="52" spans="1:28">
      <c r="A52" s="3" t="s">
        <v>245</v>
      </c>
      <c r="B52" s="4" t="s">
        <v>246</v>
      </c>
      <c r="C52" s="4" t="s">
        <v>247</v>
      </c>
      <c r="D52" s="4" t="s">
        <v>31</v>
      </c>
      <c r="E52" s="4" t="s">
        <v>248</v>
      </c>
      <c r="F52" s="4" t="s">
        <v>33</v>
      </c>
      <c r="G52" s="4" t="s">
        <v>34</v>
      </c>
      <c r="H52" s="5">
        <v>48.7</v>
      </c>
      <c r="I52" s="3" t="s">
        <v>249</v>
      </c>
      <c r="J52" s="3" t="s">
        <v>36</v>
      </c>
      <c r="K52" s="3" t="s">
        <v>37</v>
      </c>
      <c r="L52" s="3"/>
      <c r="M52" s="3"/>
      <c r="N52" s="3"/>
      <c r="O52" s="6">
        <v>0</v>
      </c>
      <c r="P52" s="6">
        <v>0</v>
      </c>
      <c r="Q52" s="6">
        <v>1</v>
      </c>
      <c r="R52" s="6">
        <v>1</v>
      </c>
      <c r="S52" s="6">
        <v>0</v>
      </c>
      <c r="T52" s="6">
        <v>0</v>
      </c>
      <c r="U52" s="6">
        <v>0</v>
      </c>
      <c r="V52" s="3"/>
      <c r="W52" s="3"/>
      <c r="X52" s="7">
        <f>설정!$B$4*H52+설정!$B$5*O52*(1+설정!$B$9*(O52-1))+설정!$B$6*P52*(1+설정!$B$9*(P52-1))+설정!$B$7*Q52*(1+설정!$B$9*(Q52-1))+설정!$B$8*R52*(1+설정!$B$9*(R52-1))</f>
        <v>3061</v>
      </c>
      <c r="Y52" s="7">
        <f>설정!$B$10*(O52*(1+설정!$B$9*(O52-1))+P52*(1+설정!$B$9*(P52-1)))</f>
        <v>0</v>
      </c>
      <c r="Z52" s="7">
        <f t="shared" si="0"/>
        <v>-48.7</v>
      </c>
      <c r="AA52" s="7">
        <f>X52*설정!$B$11</f>
        <v>306.10000000000002</v>
      </c>
      <c r="AB52" s="3"/>
    </row>
    <row r="53" spans="1:28">
      <c r="A53" s="3" t="s">
        <v>250</v>
      </c>
      <c r="B53" s="4" t="s">
        <v>251</v>
      </c>
      <c r="C53" s="4" t="s">
        <v>247</v>
      </c>
      <c r="D53" s="4" t="s">
        <v>31</v>
      </c>
      <c r="E53" s="4" t="s">
        <v>252</v>
      </c>
      <c r="F53" s="4" t="s">
        <v>33</v>
      </c>
      <c r="G53" s="4" t="s">
        <v>34</v>
      </c>
      <c r="H53" s="5">
        <v>47.9</v>
      </c>
      <c r="I53" s="3" t="s">
        <v>253</v>
      </c>
      <c r="J53" s="3" t="s">
        <v>36</v>
      </c>
      <c r="K53" s="3" t="s">
        <v>140</v>
      </c>
      <c r="L53" s="4" t="s">
        <v>254</v>
      </c>
      <c r="M53" s="3"/>
      <c r="N53" s="3"/>
      <c r="O53" s="6">
        <v>0</v>
      </c>
      <c r="P53" s="6">
        <v>1</v>
      </c>
      <c r="Q53" s="6">
        <v>2</v>
      </c>
      <c r="R53" s="6">
        <v>1</v>
      </c>
      <c r="S53" s="6">
        <v>0</v>
      </c>
      <c r="T53" s="6">
        <v>0</v>
      </c>
      <c r="U53" s="6">
        <v>0</v>
      </c>
      <c r="V53" s="3"/>
      <c r="W53" s="3"/>
      <c r="X53" s="7">
        <f>설정!$B$4*H53+설정!$B$5*O53*(1+설정!$B$9*(O53-1))+설정!$B$6*P53*(1+설정!$B$9*(P53-1))+설정!$B$7*Q53*(1+설정!$B$9*(Q53-1))+설정!$B$8*R53*(1+설정!$B$9*(R53-1))</f>
        <v>4587</v>
      </c>
      <c r="Y53" s="7">
        <f>설정!$B$10*(O53*(1+설정!$B$9*(O53-1))+P53*(1+설정!$B$9*(P53-1)))</f>
        <v>15</v>
      </c>
      <c r="Z53" s="7">
        <f t="shared" si="0"/>
        <v>-32.9</v>
      </c>
      <c r="AA53" s="7">
        <f>X53*설정!$B$11</f>
        <v>458.70000000000005</v>
      </c>
      <c r="AB53" s="3"/>
    </row>
    <row r="54" spans="1:28">
      <c r="A54" s="3" t="s">
        <v>255</v>
      </c>
      <c r="B54" s="4" t="s">
        <v>256</v>
      </c>
      <c r="C54" s="4" t="s">
        <v>247</v>
      </c>
      <c r="D54" s="4" t="s">
        <v>31</v>
      </c>
      <c r="E54" s="4" t="s">
        <v>257</v>
      </c>
      <c r="F54" s="4" t="s">
        <v>33</v>
      </c>
      <c r="G54" s="4" t="s">
        <v>34</v>
      </c>
      <c r="H54" s="5">
        <v>41.9</v>
      </c>
      <c r="I54" s="3" t="s">
        <v>258</v>
      </c>
      <c r="J54" s="3" t="s">
        <v>36</v>
      </c>
      <c r="K54" s="3" t="s">
        <v>140</v>
      </c>
      <c r="L54" s="4" t="s">
        <v>254</v>
      </c>
      <c r="M54" s="3"/>
      <c r="N54" s="3"/>
      <c r="O54" s="6">
        <v>0</v>
      </c>
      <c r="P54" s="6">
        <v>1</v>
      </c>
      <c r="Q54" s="6">
        <v>1</v>
      </c>
      <c r="R54" s="6">
        <v>1</v>
      </c>
      <c r="S54" s="6">
        <v>0</v>
      </c>
      <c r="T54" s="6">
        <v>0</v>
      </c>
      <c r="U54" s="6">
        <v>0</v>
      </c>
      <c r="V54" s="3"/>
      <c r="W54" s="3"/>
      <c r="X54" s="7">
        <f>설정!$B$4*H54+설정!$B$5*O54*(1+설정!$B$9*(O54-1))+설정!$B$6*P54*(1+설정!$B$9*(P54-1))+설정!$B$7*Q54*(1+설정!$B$9*(Q54-1))+설정!$B$8*R54*(1+설정!$B$9*(R54-1))</f>
        <v>3007</v>
      </c>
      <c r="Y54" s="7">
        <f>설정!$B$10*(O54*(1+설정!$B$9*(O54-1))+P54*(1+설정!$B$9*(P54-1)))</f>
        <v>15</v>
      </c>
      <c r="Z54" s="7">
        <f t="shared" si="0"/>
        <v>-26.9</v>
      </c>
      <c r="AA54" s="7">
        <f>X54*설정!$B$11</f>
        <v>300.7</v>
      </c>
      <c r="AB54" s="3"/>
    </row>
    <row r="55" spans="1:28">
      <c r="A55" s="3" t="s">
        <v>259</v>
      </c>
      <c r="B55" s="4" t="s">
        <v>260</v>
      </c>
      <c r="C55" s="4" t="s">
        <v>247</v>
      </c>
      <c r="D55" s="4" t="s">
        <v>31</v>
      </c>
      <c r="E55" s="4" t="s">
        <v>261</v>
      </c>
      <c r="F55" s="4" t="s">
        <v>33</v>
      </c>
      <c r="G55" s="4" t="s">
        <v>34</v>
      </c>
      <c r="H55" s="5">
        <v>41</v>
      </c>
      <c r="I55" s="3" t="s">
        <v>262</v>
      </c>
      <c r="J55" s="3" t="s">
        <v>36</v>
      </c>
      <c r="K55" s="3" t="s">
        <v>140</v>
      </c>
      <c r="L55" s="4" t="s">
        <v>254</v>
      </c>
      <c r="M55" s="3"/>
      <c r="N55" s="3"/>
      <c r="O55" s="6">
        <v>0</v>
      </c>
      <c r="P55" s="6">
        <v>1</v>
      </c>
      <c r="Q55" s="6">
        <v>0</v>
      </c>
      <c r="R55" s="6">
        <v>2</v>
      </c>
      <c r="S55" s="6">
        <v>0</v>
      </c>
      <c r="T55" s="6">
        <v>0</v>
      </c>
      <c r="U55" s="6">
        <v>0</v>
      </c>
      <c r="V55" s="3"/>
      <c r="W55" s="3"/>
      <c r="X55" s="7">
        <f>설정!$B$4*H55+설정!$B$5*O55*(1+설정!$B$9*(O55-1))+설정!$B$6*P55*(1+설정!$B$9*(P55-1))+설정!$B$7*Q55*(1+설정!$B$9*(Q55-1))+설정!$B$8*R55*(1+설정!$B$9*(R55-1))</f>
        <v>2820</v>
      </c>
      <c r="Y55" s="7">
        <f>설정!$B$10*(O55*(1+설정!$B$9*(O55-1))+P55*(1+설정!$B$9*(P55-1)))</f>
        <v>15</v>
      </c>
      <c r="Z55" s="7">
        <f t="shared" si="0"/>
        <v>-26</v>
      </c>
      <c r="AA55" s="7">
        <f>X55*설정!$B$11</f>
        <v>282</v>
      </c>
      <c r="AB55" s="3"/>
    </row>
    <row r="56" spans="1:28">
      <c r="A56" s="3" t="s">
        <v>263</v>
      </c>
      <c r="B56" s="4" t="s">
        <v>264</v>
      </c>
      <c r="C56" s="4" t="s">
        <v>247</v>
      </c>
      <c r="D56" s="4" t="s">
        <v>31</v>
      </c>
      <c r="E56" s="4" t="s">
        <v>265</v>
      </c>
      <c r="F56" s="4" t="s">
        <v>33</v>
      </c>
      <c r="G56" s="4" t="s">
        <v>34</v>
      </c>
      <c r="H56" s="5">
        <v>39.200000000000003</v>
      </c>
      <c r="I56" s="3" t="s">
        <v>266</v>
      </c>
      <c r="J56" s="3" t="s">
        <v>36</v>
      </c>
      <c r="K56" s="3" t="s">
        <v>140</v>
      </c>
      <c r="L56" s="4" t="s">
        <v>254</v>
      </c>
      <c r="M56" s="3"/>
      <c r="N56" s="3"/>
      <c r="O56" s="6">
        <v>0</v>
      </c>
      <c r="P56" s="6">
        <v>1</v>
      </c>
      <c r="Q56" s="6">
        <v>2</v>
      </c>
      <c r="R56" s="6">
        <v>1</v>
      </c>
      <c r="S56" s="6">
        <v>1</v>
      </c>
      <c r="T56" s="6">
        <v>0</v>
      </c>
      <c r="U56" s="6">
        <v>0</v>
      </c>
      <c r="V56" s="3"/>
      <c r="W56" s="3"/>
      <c r="X56" s="7">
        <f>설정!$B$4*H56+설정!$B$5*O56*(1+설정!$B$9*(O56-1))+설정!$B$6*P56*(1+설정!$B$9*(P56-1))+설정!$B$7*Q56*(1+설정!$B$9*(Q56-1))+설정!$B$8*R56*(1+설정!$B$9*(R56-1))</f>
        <v>4326</v>
      </c>
      <c r="Y56" s="7">
        <f>설정!$B$10*(O56*(1+설정!$B$9*(O56-1))+P56*(1+설정!$B$9*(P56-1)))</f>
        <v>15</v>
      </c>
      <c r="Z56" s="7">
        <f t="shared" si="0"/>
        <v>-24.200000000000003</v>
      </c>
      <c r="AA56" s="7">
        <f>X56*설정!$B$11</f>
        <v>432.6</v>
      </c>
      <c r="AB56" s="3" t="s">
        <v>267</v>
      </c>
    </row>
    <row r="57" spans="1:28">
      <c r="A57" s="3" t="s">
        <v>268</v>
      </c>
      <c r="B57" s="4" t="s">
        <v>269</v>
      </c>
      <c r="C57" s="4" t="s">
        <v>247</v>
      </c>
      <c r="D57" s="4" t="s">
        <v>31</v>
      </c>
      <c r="E57" s="4" t="s">
        <v>270</v>
      </c>
      <c r="F57" s="4" t="s">
        <v>33</v>
      </c>
      <c r="G57" s="4" t="s">
        <v>34</v>
      </c>
      <c r="H57" s="5">
        <v>27.6</v>
      </c>
      <c r="I57" s="3" t="s">
        <v>271</v>
      </c>
      <c r="J57" s="3" t="s">
        <v>36</v>
      </c>
      <c r="K57" s="3" t="s">
        <v>37</v>
      </c>
      <c r="L57" s="3"/>
      <c r="M57" s="3"/>
      <c r="N57" s="3"/>
      <c r="O57" s="6">
        <v>0</v>
      </c>
      <c r="P57" s="6">
        <v>0</v>
      </c>
      <c r="Q57" s="6">
        <v>1</v>
      </c>
      <c r="R57" s="6">
        <v>1</v>
      </c>
      <c r="S57" s="6">
        <v>0</v>
      </c>
      <c r="T57" s="6">
        <v>0</v>
      </c>
      <c r="U57" s="6">
        <v>0</v>
      </c>
      <c r="V57" s="3"/>
      <c r="W57" s="3"/>
      <c r="X57" s="7">
        <f>설정!$B$4*H57+설정!$B$5*O57*(1+설정!$B$9*(O57-1))+설정!$B$6*P57*(1+설정!$B$9*(P57-1))+설정!$B$7*Q57*(1+설정!$B$9*(Q57-1))+설정!$B$8*R57*(1+설정!$B$9*(R57-1))</f>
        <v>2428</v>
      </c>
      <c r="Y57" s="7">
        <f>설정!$B$10*(O57*(1+설정!$B$9*(O57-1))+P57*(1+설정!$B$9*(P57-1)))</f>
        <v>0</v>
      </c>
      <c r="Z57" s="7">
        <f t="shared" si="0"/>
        <v>-27.6</v>
      </c>
      <c r="AA57" s="7">
        <f>X57*설정!$B$11</f>
        <v>242.8</v>
      </c>
      <c r="AB57" s="3"/>
    </row>
    <row r="58" spans="1:28">
      <c r="A58" s="3" t="s">
        <v>272</v>
      </c>
      <c r="B58" s="4" t="s">
        <v>273</v>
      </c>
      <c r="C58" s="4" t="s">
        <v>247</v>
      </c>
      <c r="D58" s="4" t="s">
        <v>31</v>
      </c>
      <c r="E58" s="4" t="s">
        <v>274</v>
      </c>
      <c r="F58" s="4" t="s">
        <v>33</v>
      </c>
      <c r="G58" s="4" t="s">
        <v>34</v>
      </c>
      <c r="H58" s="5">
        <v>27.6</v>
      </c>
      <c r="I58" s="3" t="s">
        <v>275</v>
      </c>
      <c r="J58" s="3" t="s">
        <v>36</v>
      </c>
      <c r="K58" s="3" t="s">
        <v>37</v>
      </c>
      <c r="L58" s="3"/>
      <c r="M58" s="3"/>
      <c r="N58" s="3"/>
      <c r="O58" s="6">
        <v>0</v>
      </c>
      <c r="P58" s="6">
        <v>0</v>
      </c>
      <c r="Q58" s="6">
        <v>1</v>
      </c>
      <c r="R58" s="6">
        <v>1</v>
      </c>
      <c r="S58" s="6">
        <v>0</v>
      </c>
      <c r="T58" s="6">
        <v>0</v>
      </c>
      <c r="U58" s="6">
        <v>0</v>
      </c>
      <c r="V58" s="3"/>
      <c r="W58" s="3"/>
      <c r="X58" s="7">
        <f>설정!$B$4*H58+설정!$B$5*O58*(1+설정!$B$9*(O58-1))+설정!$B$6*P58*(1+설정!$B$9*(P58-1))+설정!$B$7*Q58*(1+설정!$B$9*(Q58-1))+설정!$B$8*R58*(1+설정!$B$9*(R58-1))</f>
        <v>2428</v>
      </c>
      <c r="Y58" s="7">
        <f>설정!$B$10*(O58*(1+설정!$B$9*(O58-1))+P58*(1+설정!$B$9*(P58-1)))</f>
        <v>0</v>
      </c>
      <c r="Z58" s="7">
        <f t="shared" si="0"/>
        <v>-27.6</v>
      </c>
      <c r="AA58" s="7">
        <f>X58*설정!$B$11</f>
        <v>242.8</v>
      </c>
      <c r="AB58" s="3"/>
    </row>
    <row r="59" spans="1:28">
      <c r="A59" s="3" t="s">
        <v>276</v>
      </c>
      <c r="B59" s="4" t="s">
        <v>277</v>
      </c>
      <c r="C59" s="4" t="s">
        <v>247</v>
      </c>
      <c r="D59" s="4" t="s">
        <v>31</v>
      </c>
      <c r="E59" s="4" t="s">
        <v>278</v>
      </c>
      <c r="F59" s="4" t="s">
        <v>33</v>
      </c>
      <c r="G59" s="4" t="s">
        <v>34</v>
      </c>
      <c r="H59" s="5">
        <v>13.9</v>
      </c>
      <c r="I59" s="3" t="s">
        <v>279</v>
      </c>
      <c r="J59" s="3" t="s">
        <v>36</v>
      </c>
      <c r="K59" s="3" t="s">
        <v>140</v>
      </c>
      <c r="L59" s="4" t="s">
        <v>254</v>
      </c>
      <c r="M59" s="4" t="s">
        <v>199</v>
      </c>
      <c r="N59" s="3"/>
      <c r="O59" s="6">
        <v>0</v>
      </c>
      <c r="P59" s="6">
        <v>1</v>
      </c>
      <c r="Q59" s="6">
        <v>0</v>
      </c>
      <c r="R59" s="6">
        <v>1</v>
      </c>
      <c r="S59" s="6">
        <v>0</v>
      </c>
      <c r="T59" s="6">
        <v>0</v>
      </c>
      <c r="U59" s="6">
        <v>0</v>
      </c>
      <c r="V59" s="3"/>
      <c r="W59" s="3"/>
      <c r="X59" s="7">
        <f>설정!$B$4*H59+설정!$B$5*O59*(1+설정!$B$9*(O59-1))+설정!$B$6*P59*(1+설정!$B$9*(P59-1))+설정!$B$7*Q59*(1+설정!$B$9*(Q59-1))+설정!$B$8*R59*(1+설정!$B$9*(R59-1))</f>
        <v>1167</v>
      </c>
      <c r="Y59" s="7">
        <f>설정!$B$10*(O59*(1+설정!$B$9*(O59-1))+P59*(1+설정!$B$9*(P59-1)))</f>
        <v>15</v>
      </c>
      <c r="Z59" s="7">
        <f t="shared" si="0"/>
        <v>1.0999999999999996</v>
      </c>
      <c r="AA59" s="7">
        <f>X59*설정!$B$11</f>
        <v>116.7</v>
      </c>
      <c r="AB59" s="3"/>
    </row>
    <row r="60" spans="1:28">
      <c r="A60" s="3" t="s">
        <v>280</v>
      </c>
      <c r="B60" s="4" t="s">
        <v>281</v>
      </c>
      <c r="C60" s="4" t="s">
        <v>247</v>
      </c>
      <c r="D60" s="4" t="s">
        <v>31</v>
      </c>
      <c r="E60" s="4" t="s">
        <v>282</v>
      </c>
      <c r="F60" s="4" t="s">
        <v>33</v>
      </c>
      <c r="G60" s="4" t="s">
        <v>34</v>
      </c>
      <c r="H60" s="5">
        <v>9.9</v>
      </c>
      <c r="I60" s="3" t="s">
        <v>283</v>
      </c>
      <c r="J60" s="3" t="s">
        <v>36</v>
      </c>
      <c r="K60" s="3" t="s">
        <v>140</v>
      </c>
      <c r="L60" s="4" t="s">
        <v>254</v>
      </c>
      <c r="M60" s="3"/>
      <c r="N60" s="3"/>
      <c r="O60" s="6">
        <v>0</v>
      </c>
      <c r="P60" s="6">
        <v>1</v>
      </c>
      <c r="Q60" s="6">
        <v>0</v>
      </c>
      <c r="R60" s="6">
        <v>1</v>
      </c>
      <c r="S60" s="6">
        <v>0</v>
      </c>
      <c r="T60" s="6">
        <v>0</v>
      </c>
      <c r="U60" s="6">
        <v>0</v>
      </c>
      <c r="V60" s="3"/>
      <c r="W60" s="3"/>
      <c r="X60" s="7">
        <f>설정!$B$4*H60+설정!$B$5*O60*(1+설정!$B$9*(O60-1))+설정!$B$6*P60*(1+설정!$B$9*(P60-1))+설정!$B$7*Q60*(1+설정!$B$9*(Q60-1))+설정!$B$8*R60*(1+설정!$B$9*(R60-1))</f>
        <v>1047</v>
      </c>
      <c r="Y60" s="7">
        <f>설정!$B$10*(O60*(1+설정!$B$9*(O60-1))+P60*(1+설정!$B$9*(P60-1)))</f>
        <v>15</v>
      </c>
      <c r="Z60" s="7">
        <f t="shared" si="0"/>
        <v>5.0999999999999996</v>
      </c>
      <c r="AA60" s="7">
        <f>X60*설정!$B$11</f>
        <v>104.7</v>
      </c>
      <c r="AB60" s="3"/>
    </row>
    <row r="61" spans="1:28" ht="15.75">
      <c r="A61" s="3" t="s">
        <v>284</v>
      </c>
      <c r="B61" s="4" t="s">
        <v>285</v>
      </c>
      <c r="C61" s="4" t="s">
        <v>247</v>
      </c>
      <c r="D61" s="4" t="s">
        <v>31</v>
      </c>
      <c r="E61" s="4" t="s">
        <v>286</v>
      </c>
      <c r="F61" s="4" t="s">
        <v>177</v>
      </c>
      <c r="G61" s="4" t="s">
        <v>34</v>
      </c>
      <c r="H61" s="5">
        <v>7</v>
      </c>
      <c r="I61" s="3" t="s">
        <v>287</v>
      </c>
      <c r="J61" s="3" t="s">
        <v>36</v>
      </c>
      <c r="K61" s="3" t="s">
        <v>140</v>
      </c>
      <c r="L61" s="4" t="s">
        <v>288</v>
      </c>
      <c r="M61" s="4" t="s">
        <v>199</v>
      </c>
      <c r="N61" s="3"/>
      <c r="O61" s="6">
        <v>2</v>
      </c>
      <c r="P61" s="6">
        <v>1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3"/>
      <c r="W61" s="27" t="s">
        <v>2128</v>
      </c>
      <c r="X61" s="7">
        <f>설정!$B$4*H61+설정!$B$5*O61*(1+설정!$B$9*(O61-1))+설정!$B$6*P61*(1+설정!$B$9*(P61-1))+설정!$B$7*Q61*(1+설정!$B$9*(Q61-1))+설정!$B$8*R61*(1+설정!$B$9*(R61-1))</f>
        <v>720</v>
      </c>
      <c r="Y61" s="7">
        <f>설정!$B$10*(O61*(1+설정!$B$9*(O61-1))+P61*(1+설정!$B$9*(P61-1)))</f>
        <v>51</v>
      </c>
      <c r="Z61" s="7">
        <f t="shared" si="0"/>
        <v>44</v>
      </c>
      <c r="AA61" s="7">
        <f>X61*설정!$B$11</f>
        <v>72</v>
      </c>
      <c r="AB61" s="3"/>
    </row>
    <row r="62" spans="1:28">
      <c r="A62" s="3" t="s">
        <v>289</v>
      </c>
      <c r="B62" s="4" t="s">
        <v>290</v>
      </c>
      <c r="C62" s="4" t="s">
        <v>291</v>
      </c>
      <c r="D62" s="4" t="s">
        <v>31</v>
      </c>
      <c r="E62" s="4" t="s">
        <v>292</v>
      </c>
      <c r="F62" s="4" t="s">
        <v>33</v>
      </c>
      <c r="G62" s="4" t="s">
        <v>293</v>
      </c>
      <c r="H62" s="5">
        <v>41.7</v>
      </c>
      <c r="I62" s="3" t="s">
        <v>294</v>
      </c>
      <c r="J62" s="3" t="s">
        <v>36</v>
      </c>
      <c r="K62" s="3" t="s">
        <v>37</v>
      </c>
      <c r="L62" s="3"/>
      <c r="M62" s="3"/>
      <c r="N62" s="3"/>
      <c r="O62" s="6">
        <v>0</v>
      </c>
      <c r="P62" s="6">
        <v>0</v>
      </c>
      <c r="Q62" s="6">
        <v>1</v>
      </c>
      <c r="R62" s="6">
        <v>1</v>
      </c>
      <c r="S62" s="6">
        <v>0</v>
      </c>
      <c r="T62" s="6">
        <v>0</v>
      </c>
      <c r="U62" s="6">
        <v>0</v>
      </c>
      <c r="V62" s="3"/>
      <c r="W62" s="3"/>
      <c r="X62" s="7">
        <f>설정!$B$4*H62+설정!$B$5*O62*(1+설정!$B$9*(O62-1))+설정!$B$6*P62*(1+설정!$B$9*(P62-1))+설정!$B$7*Q62*(1+설정!$B$9*(Q62-1))+설정!$B$8*R62*(1+설정!$B$9*(R62-1))</f>
        <v>2851</v>
      </c>
      <c r="Y62" s="7">
        <f>설정!$B$10*(O62*(1+설정!$B$9*(O62-1))+P62*(1+설정!$B$9*(P62-1)))</f>
        <v>0</v>
      </c>
      <c r="Z62" s="7">
        <f t="shared" si="0"/>
        <v>-41.7</v>
      </c>
      <c r="AA62" s="7">
        <f>X62*설정!$B$11</f>
        <v>285.10000000000002</v>
      </c>
      <c r="AB62" s="3"/>
    </row>
    <row r="63" spans="1:28">
      <c r="A63" s="3" t="s">
        <v>295</v>
      </c>
      <c r="B63" s="4" t="s">
        <v>296</v>
      </c>
      <c r="C63" s="4" t="s">
        <v>291</v>
      </c>
      <c r="D63" s="4" t="s">
        <v>31</v>
      </c>
      <c r="E63" s="4" t="s">
        <v>297</v>
      </c>
      <c r="F63" s="4" t="s">
        <v>33</v>
      </c>
      <c r="G63" s="4" t="s">
        <v>293</v>
      </c>
      <c r="H63" s="5">
        <v>38.299999999999997</v>
      </c>
      <c r="I63" s="3" t="s">
        <v>298</v>
      </c>
      <c r="J63" s="3" t="s">
        <v>36</v>
      </c>
      <c r="K63" s="3" t="s">
        <v>37</v>
      </c>
      <c r="L63" s="3"/>
      <c r="M63" s="3"/>
      <c r="N63" s="3"/>
      <c r="O63" s="6">
        <v>1</v>
      </c>
      <c r="P63" s="6">
        <v>0</v>
      </c>
      <c r="Q63" s="6">
        <v>2</v>
      </c>
      <c r="R63" s="6">
        <v>1</v>
      </c>
      <c r="S63" s="6">
        <v>0</v>
      </c>
      <c r="T63" s="6">
        <v>0</v>
      </c>
      <c r="U63" s="6">
        <v>0</v>
      </c>
      <c r="V63" s="3"/>
      <c r="W63" s="3"/>
      <c r="X63" s="7">
        <f>설정!$B$4*H63+설정!$B$5*O63*(1+설정!$B$9*(O63-1))+설정!$B$6*P63*(1+설정!$B$9*(P63-1))+설정!$B$7*Q63*(1+설정!$B$9*(Q63-1))+설정!$B$8*R63*(1+설정!$B$9*(R63-1))</f>
        <v>4299</v>
      </c>
      <c r="Y63" s="7">
        <f>설정!$B$10*(O63*(1+설정!$B$9*(O63-1))+P63*(1+설정!$B$9*(P63-1)))</f>
        <v>15</v>
      </c>
      <c r="Z63" s="7">
        <f t="shared" si="0"/>
        <v>-23.299999999999997</v>
      </c>
      <c r="AA63" s="7">
        <f>X63*설정!$B$11</f>
        <v>429.90000000000003</v>
      </c>
      <c r="AB63" s="3"/>
    </row>
    <row r="64" spans="1:28">
      <c r="A64" s="3" t="s">
        <v>299</v>
      </c>
      <c r="B64" s="4" t="s">
        <v>300</v>
      </c>
      <c r="C64" s="4" t="s">
        <v>291</v>
      </c>
      <c r="D64" s="4" t="s">
        <v>31</v>
      </c>
      <c r="E64" s="4" t="s">
        <v>301</v>
      </c>
      <c r="F64" s="4" t="s">
        <v>33</v>
      </c>
      <c r="G64" s="4" t="s">
        <v>293</v>
      </c>
      <c r="H64" s="5">
        <v>27.4</v>
      </c>
      <c r="I64" s="3" t="s">
        <v>302</v>
      </c>
      <c r="J64" s="3" t="s">
        <v>36</v>
      </c>
      <c r="K64" s="3" t="s">
        <v>37</v>
      </c>
      <c r="L64" s="3"/>
      <c r="M64" s="3"/>
      <c r="N64" s="3"/>
      <c r="O64" s="6">
        <v>0</v>
      </c>
      <c r="P64" s="6">
        <v>0</v>
      </c>
      <c r="Q64" s="6">
        <v>0</v>
      </c>
      <c r="R64" s="6">
        <v>2</v>
      </c>
      <c r="S64" s="6">
        <v>0</v>
      </c>
      <c r="T64" s="6">
        <v>0</v>
      </c>
      <c r="U64" s="6">
        <v>0</v>
      </c>
      <c r="V64" s="3"/>
      <c r="W64" s="3"/>
      <c r="X64" s="7">
        <f>설정!$B$4*H64+설정!$B$5*O64*(1+설정!$B$9*(O64-1))+설정!$B$6*P64*(1+설정!$B$9*(P64-1))+설정!$B$7*Q64*(1+설정!$B$9*(Q64-1))+설정!$B$8*R64*(1+설정!$B$9*(R64-1))</f>
        <v>2262</v>
      </c>
      <c r="Y64" s="7">
        <f>설정!$B$10*(O64*(1+설정!$B$9*(O64-1))+P64*(1+설정!$B$9*(P64-1)))</f>
        <v>0</v>
      </c>
      <c r="Z64" s="7">
        <f t="shared" si="0"/>
        <v>-27.4</v>
      </c>
      <c r="AA64" s="7">
        <f>X64*설정!$B$11</f>
        <v>226.20000000000002</v>
      </c>
      <c r="AB64" s="3"/>
    </row>
    <row r="65" spans="1:28">
      <c r="A65" s="3" t="s">
        <v>303</v>
      </c>
      <c r="B65" s="4" t="s">
        <v>304</v>
      </c>
      <c r="C65" s="4" t="s">
        <v>291</v>
      </c>
      <c r="D65" s="4" t="s">
        <v>31</v>
      </c>
      <c r="E65" s="4" t="s">
        <v>305</v>
      </c>
      <c r="F65" s="4" t="s">
        <v>33</v>
      </c>
      <c r="G65" s="4" t="s">
        <v>293</v>
      </c>
      <c r="H65" s="5">
        <v>20.5</v>
      </c>
      <c r="I65" s="3" t="s">
        <v>306</v>
      </c>
      <c r="J65" s="3" t="s">
        <v>36</v>
      </c>
      <c r="K65" s="3" t="s">
        <v>37</v>
      </c>
      <c r="L65" s="3"/>
      <c r="M65" s="3"/>
      <c r="N65" s="3"/>
      <c r="O65" s="6">
        <v>0</v>
      </c>
      <c r="P65" s="6">
        <v>0</v>
      </c>
      <c r="Q65" s="6">
        <v>0</v>
      </c>
      <c r="R65" s="6">
        <v>1</v>
      </c>
      <c r="S65" s="6">
        <v>0</v>
      </c>
      <c r="T65" s="6">
        <v>0</v>
      </c>
      <c r="U65" s="6">
        <v>0</v>
      </c>
      <c r="V65" s="3"/>
      <c r="W65" s="3"/>
      <c r="X65" s="7">
        <f>설정!$B$4*H65+설정!$B$5*O65*(1+설정!$B$9*(O65-1))+설정!$B$6*P65*(1+설정!$B$9*(P65-1))+설정!$B$7*Q65*(1+설정!$B$9*(Q65-1))+설정!$B$8*R65*(1+설정!$B$9*(R65-1))</f>
        <v>1215</v>
      </c>
      <c r="Y65" s="7">
        <f>설정!$B$10*(O65*(1+설정!$B$9*(O65-1))+P65*(1+설정!$B$9*(P65-1)))</f>
        <v>0</v>
      </c>
      <c r="Z65" s="7">
        <f t="shared" si="0"/>
        <v>-20.5</v>
      </c>
      <c r="AA65" s="7">
        <f>X65*설정!$B$11</f>
        <v>121.5</v>
      </c>
      <c r="AB65" s="3"/>
    </row>
    <row r="66" spans="1:28">
      <c r="A66" s="3" t="s">
        <v>307</v>
      </c>
      <c r="B66" s="4" t="s">
        <v>308</v>
      </c>
      <c r="C66" s="4" t="s">
        <v>291</v>
      </c>
      <c r="D66" s="4" t="s">
        <v>31</v>
      </c>
      <c r="E66" s="4" t="s">
        <v>309</v>
      </c>
      <c r="F66" s="4" t="s">
        <v>33</v>
      </c>
      <c r="G66" s="4" t="s">
        <v>293</v>
      </c>
      <c r="H66" s="5">
        <v>10.5</v>
      </c>
      <c r="I66" s="3" t="s">
        <v>310</v>
      </c>
      <c r="J66" s="3" t="s">
        <v>36</v>
      </c>
      <c r="K66" s="3" t="s">
        <v>37</v>
      </c>
      <c r="L66" s="3"/>
      <c r="M66" s="3"/>
      <c r="N66" s="3"/>
      <c r="O66" s="6">
        <v>0</v>
      </c>
      <c r="P66" s="6">
        <v>0</v>
      </c>
      <c r="Q66" s="6">
        <v>0</v>
      </c>
      <c r="R66" s="6">
        <v>1</v>
      </c>
      <c r="S66" s="6">
        <v>0</v>
      </c>
      <c r="T66" s="6">
        <v>0</v>
      </c>
      <c r="U66" s="6">
        <v>0</v>
      </c>
      <c r="V66" s="3"/>
      <c r="W66" s="3"/>
      <c r="X66" s="7">
        <f>설정!$B$4*H66+설정!$B$5*O66*(1+설정!$B$9*(O66-1))+설정!$B$6*P66*(1+설정!$B$9*(P66-1))+설정!$B$7*Q66*(1+설정!$B$9*(Q66-1))+설정!$B$8*R66*(1+설정!$B$9*(R66-1))</f>
        <v>915</v>
      </c>
      <c r="Y66" s="7">
        <f>설정!$B$10*(O66*(1+설정!$B$9*(O66-1))+P66*(1+설정!$B$9*(P66-1)))</f>
        <v>0</v>
      </c>
      <c r="Z66" s="7">
        <f t="shared" ref="Z66:Z129" si="1">Y66-H66</f>
        <v>-10.5</v>
      </c>
      <c r="AA66" s="7">
        <f>X66*설정!$B$11</f>
        <v>91.5</v>
      </c>
      <c r="AB66" s="3"/>
    </row>
    <row r="67" spans="1:28">
      <c r="A67" s="3" t="s">
        <v>311</v>
      </c>
      <c r="B67" s="4" t="s">
        <v>312</v>
      </c>
      <c r="C67" s="4" t="s">
        <v>313</v>
      </c>
      <c r="D67" s="4" t="s">
        <v>31</v>
      </c>
      <c r="E67" s="4" t="s">
        <v>314</v>
      </c>
      <c r="F67" s="4" t="s">
        <v>33</v>
      </c>
      <c r="G67" s="4" t="s">
        <v>315</v>
      </c>
      <c r="H67" s="5">
        <v>46.4</v>
      </c>
      <c r="I67" s="3" t="s">
        <v>316</v>
      </c>
      <c r="J67" s="3" t="s">
        <v>36</v>
      </c>
      <c r="K67" s="3" t="s">
        <v>37</v>
      </c>
      <c r="L67" s="3"/>
      <c r="M67" s="3"/>
      <c r="N67" s="3"/>
      <c r="O67" s="6">
        <v>0</v>
      </c>
      <c r="P67" s="6">
        <v>0</v>
      </c>
      <c r="Q67" s="6">
        <v>0</v>
      </c>
      <c r="R67" s="6">
        <v>2</v>
      </c>
      <c r="S67" s="6">
        <v>0</v>
      </c>
      <c r="T67" s="6">
        <v>0</v>
      </c>
      <c r="U67" s="6">
        <v>0</v>
      </c>
      <c r="V67" s="3"/>
      <c r="W67" s="3"/>
      <c r="X67" s="7">
        <f>설정!$B$4*H67+설정!$B$5*O67*(1+설정!$B$9*(O67-1))+설정!$B$6*P67*(1+설정!$B$9*(P67-1))+설정!$B$7*Q67*(1+설정!$B$9*(Q67-1))+설정!$B$8*R67*(1+설정!$B$9*(R67-1))</f>
        <v>2832</v>
      </c>
      <c r="Y67" s="7">
        <f>설정!$B$10*(O67*(1+설정!$B$9*(O67-1))+P67*(1+설정!$B$9*(P67-1)))</f>
        <v>0</v>
      </c>
      <c r="Z67" s="7">
        <f t="shared" si="1"/>
        <v>-46.4</v>
      </c>
      <c r="AA67" s="7">
        <f>X67*설정!$B$11</f>
        <v>283.2</v>
      </c>
      <c r="AB67" s="3"/>
    </row>
    <row r="68" spans="1:28">
      <c r="A68" s="3" t="s">
        <v>317</v>
      </c>
      <c r="B68" s="4" t="s">
        <v>318</v>
      </c>
      <c r="C68" s="4" t="s">
        <v>313</v>
      </c>
      <c r="D68" s="4" t="s">
        <v>31</v>
      </c>
      <c r="E68" s="4" t="s">
        <v>319</v>
      </c>
      <c r="F68" s="4" t="s">
        <v>33</v>
      </c>
      <c r="G68" s="4" t="s">
        <v>315</v>
      </c>
      <c r="H68" s="5">
        <v>37.299999999999997</v>
      </c>
      <c r="I68" s="3" t="s">
        <v>320</v>
      </c>
      <c r="J68" s="3" t="s">
        <v>36</v>
      </c>
      <c r="K68" s="3" t="s">
        <v>37</v>
      </c>
      <c r="L68" s="3"/>
      <c r="M68" s="3"/>
      <c r="N68" s="3"/>
      <c r="O68" s="6">
        <v>0</v>
      </c>
      <c r="P68" s="6">
        <v>0</v>
      </c>
      <c r="Q68" s="6">
        <v>1</v>
      </c>
      <c r="R68" s="6">
        <v>2</v>
      </c>
      <c r="S68" s="6">
        <v>0</v>
      </c>
      <c r="T68" s="6">
        <v>0</v>
      </c>
      <c r="U68" s="6">
        <v>0</v>
      </c>
      <c r="V68" s="3"/>
      <c r="W68" s="3"/>
      <c r="X68" s="7">
        <f>설정!$B$4*H68+설정!$B$5*O68*(1+설정!$B$9*(O68-1))+설정!$B$6*P68*(1+설정!$B$9*(P68-1))+설정!$B$7*Q68*(1+설정!$B$9*(Q68-1))+설정!$B$8*R68*(1+설정!$B$9*(R68-1))</f>
        <v>3559</v>
      </c>
      <c r="Y68" s="7">
        <f>설정!$B$10*(O68*(1+설정!$B$9*(O68-1))+P68*(1+설정!$B$9*(P68-1)))</f>
        <v>0</v>
      </c>
      <c r="Z68" s="7">
        <f t="shared" si="1"/>
        <v>-37.299999999999997</v>
      </c>
      <c r="AA68" s="7">
        <f>X68*설정!$B$11</f>
        <v>355.90000000000003</v>
      </c>
      <c r="AB68" s="3"/>
    </row>
    <row r="69" spans="1:28">
      <c r="A69" s="3" t="s">
        <v>321</v>
      </c>
      <c r="B69" s="4" t="s">
        <v>322</v>
      </c>
      <c r="C69" s="4" t="s">
        <v>313</v>
      </c>
      <c r="D69" s="4" t="s">
        <v>31</v>
      </c>
      <c r="E69" s="4" t="s">
        <v>323</v>
      </c>
      <c r="F69" s="4" t="s">
        <v>33</v>
      </c>
      <c r="G69" s="4" t="s">
        <v>315</v>
      </c>
      <c r="H69" s="5">
        <v>22.4</v>
      </c>
      <c r="I69" s="3" t="s">
        <v>324</v>
      </c>
      <c r="J69" s="3" t="s">
        <v>36</v>
      </c>
      <c r="K69" s="3" t="s">
        <v>37</v>
      </c>
      <c r="L69" s="3"/>
      <c r="M69" s="3"/>
      <c r="N69" s="3"/>
      <c r="O69" s="6">
        <v>0</v>
      </c>
      <c r="P69" s="6">
        <v>0</v>
      </c>
      <c r="Q69" s="6">
        <v>0</v>
      </c>
      <c r="R69" s="6">
        <v>1</v>
      </c>
      <c r="S69" s="6">
        <v>0</v>
      </c>
      <c r="T69" s="6">
        <v>0</v>
      </c>
      <c r="U69" s="6">
        <v>0</v>
      </c>
      <c r="V69" s="3"/>
      <c r="W69" s="3"/>
      <c r="X69" s="7">
        <f>설정!$B$4*H69+설정!$B$5*O69*(1+설정!$B$9*(O69-1))+설정!$B$6*P69*(1+설정!$B$9*(P69-1))+설정!$B$7*Q69*(1+설정!$B$9*(Q69-1))+설정!$B$8*R69*(1+설정!$B$9*(R69-1))</f>
        <v>1272</v>
      </c>
      <c r="Y69" s="7">
        <f>설정!$B$10*(O69*(1+설정!$B$9*(O69-1))+P69*(1+설정!$B$9*(P69-1)))</f>
        <v>0</v>
      </c>
      <c r="Z69" s="7">
        <f t="shared" si="1"/>
        <v>-22.4</v>
      </c>
      <c r="AA69" s="7">
        <f>X69*설정!$B$11</f>
        <v>127.2</v>
      </c>
      <c r="AB69" s="3"/>
    </row>
    <row r="70" spans="1:28">
      <c r="A70" s="3" t="s">
        <v>325</v>
      </c>
      <c r="B70" s="4" t="s">
        <v>326</v>
      </c>
      <c r="C70" s="4" t="s">
        <v>313</v>
      </c>
      <c r="D70" s="4" t="s">
        <v>31</v>
      </c>
      <c r="E70" s="4" t="s">
        <v>327</v>
      </c>
      <c r="F70" s="4" t="s">
        <v>33</v>
      </c>
      <c r="G70" s="4" t="s">
        <v>315</v>
      </c>
      <c r="H70" s="5">
        <v>21.8</v>
      </c>
      <c r="I70" s="3" t="s">
        <v>328</v>
      </c>
      <c r="J70" s="3" t="s">
        <v>36</v>
      </c>
      <c r="K70" s="3" t="s">
        <v>37</v>
      </c>
      <c r="L70" s="3"/>
      <c r="M70" s="3"/>
      <c r="N70" s="3"/>
      <c r="O70" s="6">
        <v>0</v>
      </c>
      <c r="P70" s="6">
        <v>0</v>
      </c>
      <c r="Q70" s="6">
        <v>0</v>
      </c>
      <c r="R70" s="6">
        <v>1</v>
      </c>
      <c r="S70" s="6">
        <v>0</v>
      </c>
      <c r="T70" s="6">
        <v>0</v>
      </c>
      <c r="U70" s="6">
        <v>0</v>
      </c>
      <c r="V70" s="3"/>
      <c r="W70" s="3"/>
      <c r="X70" s="7">
        <f>설정!$B$4*H70+설정!$B$5*O70*(1+설정!$B$9*(O70-1))+설정!$B$6*P70*(1+설정!$B$9*(P70-1))+설정!$B$7*Q70*(1+설정!$B$9*(Q70-1))+설정!$B$8*R70*(1+설정!$B$9*(R70-1))</f>
        <v>1254</v>
      </c>
      <c r="Y70" s="7">
        <f>설정!$B$10*(O70*(1+설정!$B$9*(O70-1))+P70*(1+설정!$B$9*(P70-1)))</f>
        <v>0</v>
      </c>
      <c r="Z70" s="7">
        <f t="shared" si="1"/>
        <v>-21.8</v>
      </c>
      <c r="AA70" s="7">
        <f>X70*설정!$B$11</f>
        <v>125.4</v>
      </c>
      <c r="AB70" s="3"/>
    </row>
    <row r="71" spans="1:28">
      <c r="A71" s="3" t="s">
        <v>329</v>
      </c>
      <c r="B71" s="4" t="s">
        <v>330</v>
      </c>
      <c r="C71" s="4" t="s">
        <v>313</v>
      </c>
      <c r="D71" s="4" t="s">
        <v>31</v>
      </c>
      <c r="E71" s="4" t="s">
        <v>331</v>
      </c>
      <c r="F71" s="4" t="s">
        <v>33</v>
      </c>
      <c r="G71" s="4" t="s">
        <v>315</v>
      </c>
      <c r="H71" s="5">
        <v>16.399999999999999</v>
      </c>
      <c r="I71" s="3" t="s">
        <v>332</v>
      </c>
      <c r="J71" s="3" t="s">
        <v>36</v>
      </c>
      <c r="K71" s="3" t="s">
        <v>37</v>
      </c>
      <c r="L71" s="3"/>
      <c r="M71" s="3"/>
      <c r="N71" s="3"/>
      <c r="O71" s="6">
        <v>0</v>
      </c>
      <c r="P71" s="6">
        <v>0</v>
      </c>
      <c r="Q71" s="6">
        <v>2</v>
      </c>
      <c r="R71" s="6">
        <v>1</v>
      </c>
      <c r="S71" s="6">
        <v>0</v>
      </c>
      <c r="T71" s="6">
        <v>0</v>
      </c>
      <c r="U71" s="6">
        <v>0</v>
      </c>
      <c r="V71" s="3"/>
      <c r="W71" s="3"/>
      <c r="X71" s="7">
        <f>설정!$B$4*H71+설정!$B$5*O71*(1+설정!$B$9*(O71-1))+설정!$B$6*P71*(1+설정!$B$9*(P71-1))+설정!$B$7*Q71*(1+설정!$B$9*(Q71-1))+설정!$B$8*R71*(1+설정!$B$9*(R71-1))</f>
        <v>3492</v>
      </c>
      <c r="Y71" s="7">
        <f>설정!$B$10*(O71*(1+설정!$B$9*(O71-1))+P71*(1+설정!$B$9*(P71-1)))</f>
        <v>0</v>
      </c>
      <c r="Z71" s="7">
        <f t="shared" si="1"/>
        <v>-16.399999999999999</v>
      </c>
      <c r="AA71" s="7">
        <f>X71*설정!$B$11</f>
        <v>349.20000000000005</v>
      </c>
      <c r="AB71" s="3"/>
    </row>
    <row r="72" spans="1:28">
      <c r="A72" s="3" t="s">
        <v>333</v>
      </c>
      <c r="B72" s="4" t="s">
        <v>334</v>
      </c>
      <c r="C72" s="4" t="s">
        <v>335</v>
      </c>
      <c r="D72" s="4" t="s">
        <v>31</v>
      </c>
      <c r="E72" s="4" t="s">
        <v>336</v>
      </c>
      <c r="F72" s="4" t="s">
        <v>33</v>
      </c>
      <c r="G72" s="4" t="s">
        <v>138</v>
      </c>
      <c r="H72" s="5">
        <v>30.5</v>
      </c>
      <c r="I72" s="3" t="s">
        <v>337</v>
      </c>
      <c r="J72" s="3" t="s">
        <v>36</v>
      </c>
      <c r="K72" s="3" t="s">
        <v>140</v>
      </c>
      <c r="L72" s="4" t="s">
        <v>338</v>
      </c>
      <c r="M72" s="3"/>
      <c r="N72" s="3"/>
      <c r="O72" s="6">
        <v>0</v>
      </c>
      <c r="P72" s="6">
        <v>0</v>
      </c>
      <c r="Q72" s="6">
        <v>2</v>
      </c>
      <c r="R72" s="6">
        <v>2</v>
      </c>
      <c r="S72" s="6">
        <v>1</v>
      </c>
      <c r="T72" s="6">
        <v>0</v>
      </c>
      <c r="U72" s="6">
        <v>0</v>
      </c>
      <c r="V72" s="3"/>
      <c r="W72" s="3"/>
      <c r="X72" s="7">
        <f>설정!$B$4*H72+설정!$B$5*O72*(1+설정!$B$9*(O72-1))+설정!$B$6*P72*(1+설정!$B$9*(P72-1))+설정!$B$7*Q72*(1+설정!$B$9*(Q72-1))+설정!$B$8*R72*(1+설정!$B$9*(R72-1))</f>
        <v>4755</v>
      </c>
      <c r="Y72" s="7">
        <f>설정!$B$10*(O72*(1+설정!$B$9*(O72-1))+P72*(1+설정!$B$9*(P72-1)))</f>
        <v>0</v>
      </c>
      <c r="Z72" s="7">
        <f t="shared" si="1"/>
        <v>-30.5</v>
      </c>
      <c r="AA72" s="7">
        <f>X72*설정!$B$11</f>
        <v>475.5</v>
      </c>
      <c r="AB72" s="3" t="s">
        <v>339</v>
      </c>
    </row>
    <row r="73" spans="1:28">
      <c r="A73" s="3" t="s">
        <v>340</v>
      </c>
      <c r="B73" s="4" t="s">
        <v>341</v>
      </c>
      <c r="C73" s="4" t="s">
        <v>335</v>
      </c>
      <c r="D73" s="4" t="s">
        <v>31</v>
      </c>
      <c r="E73" s="4" t="s">
        <v>342</v>
      </c>
      <c r="F73" s="4" t="s">
        <v>177</v>
      </c>
      <c r="G73" s="4" t="s">
        <v>138</v>
      </c>
      <c r="H73" s="5">
        <v>21.8</v>
      </c>
      <c r="I73" s="3" t="s">
        <v>343</v>
      </c>
      <c r="J73" s="3" t="s">
        <v>36</v>
      </c>
      <c r="K73" s="3" t="s">
        <v>140</v>
      </c>
      <c r="L73" s="4" t="s">
        <v>338</v>
      </c>
      <c r="M73" s="3"/>
      <c r="N73" s="3"/>
      <c r="O73" s="6">
        <v>1</v>
      </c>
      <c r="P73" s="6">
        <v>1</v>
      </c>
      <c r="Q73" s="6">
        <v>2</v>
      </c>
      <c r="R73" s="6">
        <v>1</v>
      </c>
      <c r="S73" s="6">
        <v>1</v>
      </c>
      <c r="T73" s="6">
        <v>0</v>
      </c>
      <c r="U73" s="6">
        <v>2</v>
      </c>
      <c r="V73" s="4" t="s">
        <v>344</v>
      </c>
      <c r="W73" s="4" t="s">
        <v>2129</v>
      </c>
      <c r="X73" s="7">
        <f>설정!$B$4*H73+설정!$B$5*O73*(1+설정!$B$9*(O73-1))+설정!$B$6*P73*(1+설정!$B$9*(P73-1))+설정!$B$7*Q73*(1+설정!$B$9*(Q73-1))+설정!$B$8*R73*(1+설정!$B$9*(R73-1))</f>
        <v>3954</v>
      </c>
      <c r="Y73" s="7">
        <f>설정!$B$10*(O73*(1+설정!$B$9*(O73-1))+P73*(1+설정!$B$9*(P73-1)))</f>
        <v>30</v>
      </c>
      <c r="Z73" s="7">
        <f t="shared" si="1"/>
        <v>8.1999999999999993</v>
      </c>
      <c r="AA73" s="7">
        <f>X73*설정!$B$11</f>
        <v>395.40000000000003</v>
      </c>
      <c r="AB73" s="3" t="s">
        <v>345</v>
      </c>
    </row>
    <row r="74" spans="1:28">
      <c r="A74" s="3" t="s">
        <v>346</v>
      </c>
      <c r="B74" s="4" t="s">
        <v>347</v>
      </c>
      <c r="C74" s="4" t="s">
        <v>335</v>
      </c>
      <c r="D74" s="4" t="s">
        <v>31</v>
      </c>
      <c r="E74" s="4" t="s">
        <v>348</v>
      </c>
      <c r="F74" s="4" t="s">
        <v>33</v>
      </c>
      <c r="G74" s="4" t="s">
        <v>138</v>
      </c>
      <c r="H74" s="5">
        <v>21.3</v>
      </c>
      <c r="I74" s="3" t="s">
        <v>349</v>
      </c>
      <c r="J74" s="3" t="s">
        <v>36</v>
      </c>
      <c r="K74" s="3" t="s">
        <v>140</v>
      </c>
      <c r="L74" s="4" t="s">
        <v>338</v>
      </c>
      <c r="M74" s="3"/>
      <c r="N74" s="3"/>
      <c r="O74" s="6">
        <v>0</v>
      </c>
      <c r="P74" s="6">
        <v>1</v>
      </c>
      <c r="Q74" s="6">
        <v>2</v>
      </c>
      <c r="R74" s="6">
        <v>1</v>
      </c>
      <c r="S74" s="6">
        <v>0</v>
      </c>
      <c r="T74" s="6">
        <v>0</v>
      </c>
      <c r="U74" s="6">
        <v>0</v>
      </c>
      <c r="V74" s="3"/>
      <c r="W74" s="3"/>
      <c r="X74" s="7">
        <f>설정!$B$4*H74+설정!$B$5*O74*(1+설정!$B$9*(O74-1))+설정!$B$6*P74*(1+설정!$B$9*(P74-1))+설정!$B$7*Q74*(1+설정!$B$9*(Q74-1))+설정!$B$8*R74*(1+설정!$B$9*(R74-1))</f>
        <v>3789</v>
      </c>
      <c r="Y74" s="7">
        <f>설정!$B$10*(O74*(1+설정!$B$9*(O74-1))+P74*(1+설정!$B$9*(P74-1)))</f>
        <v>15</v>
      </c>
      <c r="Z74" s="7">
        <f t="shared" si="1"/>
        <v>-6.3000000000000007</v>
      </c>
      <c r="AA74" s="7">
        <f>X74*설정!$B$11</f>
        <v>378.90000000000003</v>
      </c>
      <c r="AB74" s="3"/>
    </row>
    <row r="75" spans="1:28">
      <c r="A75" s="3" t="s">
        <v>350</v>
      </c>
      <c r="B75" s="4" t="s">
        <v>351</v>
      </c>
      <c r="C75" s="4" t="s">
        <v>335</v>
      </c>
      <c r="D75" s="4" t="s">
        <v>31</v>
      </c>
      <c r="E75" s="4" t="s">
        <v>352</v>
      </c>
      <c r="F75" s="4" t="s">
        <v>33</v>
      </c>
      <c r="G75" s="4" t="s">
        <v>138</v>
      </c>
      <c r="H75" s="5">
        <v>20.3</v>
      </c>
      <c r="I75" s="3" t="s">
        <v>353</v>
      </c>
      <c r="J75" s="3" t="s">
        <v>36</v>
      </c>
      <c r="K75" s="3" t="s">
        <v>37</v>
      </c>
      <c r="L75" s="3"/>
      <c r="M75" s="3"/>
      <c r="N75" s="3"/>
      <c r="O75" s="6">
        <v>0</v>
      </c>
      <c r="P75" s="6">
        <v>0</v>
      </c>
      <c r="Q75" s="6">
        <v>1</v>
      </c>
      <c r="R75" s="6">
        <v>1</v>
      </c>
      <c r="S75" s="6">
        <v>0</v>
      </c>
      <c r="T75" s="6">
        <v>0</v>
      </c>
      <c r="U75" s="6">
        <v>0</v>
      </c>
      <c r="V75" s="3"/>
      <c r="W75" s="3"/>
      <c r="X75" s="7">
        <f>설정!$B$4*H75+설정!$B$5*O75*(1+설정!$B$9*(O75-1))+설정!$B$6*P75*(1+설정!$B$9*(P75-1))+설정!$B$7*Q75*(1+설정!$B$9*(Q75-1))+설정!$B$8*R75*(1+설정!$B$9*(R75-1))</f>
        <v>2209</v>
      </c>
      <c r="Y75" s="7">
        <f>설정!$B$10*(O75*(1+설정!$B$9*(O75-1))+P75*(1+설정!$B$9*(P75-1)))</f>
        <v>0</v>
      </c>
      <c r="Z75" s="7">
        <f t="shared" si="1"/>
        <v>-20.3</v>
      </c>
      <c r="AA75" s="7">
        <f>X75*설정!$B$11</f>
        <v>220.9</v>
      </c>
      <c r="AB75" s="3"/>
    </row>
    <row r="76" spans="1:28">
      <c r="A76" s="3" t="s">
        <v>354</v>
      </c>
      <c r="B76" s="4" t="s">
        <v>355</v>
      </c>
      <c r="C76" s="4" t="s">
        <v>335</v>
      </c>
      <c r="D76" s="4" t="s">
        <v>31</v>
      </c>
      <c r="E76" s="4" t="s">
        <v>356</v>
      </c>
      <c r="F76" s="4" t="s">
        <v>33</v>
      </c>
      <c r="G76" s="4" t="s">
        <v>138</v>
      </c>
      <c r="H76" s="5">
        <v>14.7</v>
      </c>
      <c r="I76" s="3" t="s">
        <v>357</v>
      </c>
      <c r="J76" s="3" t="s">
        <v>36</v>
      </c>
      <c r="K76" s="3" t="s">
        <v>140</v>
      </c>
      <c r="L76" s="4" t="s">
        <v>338</v>
      </c>
      <c r="M76" s="3"/>
      <c r="N76" s="3"/>
      <c r="O76" s="6">
        <v>0</v>
      </c>
      <c r="P76" s="6">
        <v>1</v>
      </c>
      <c r="Q76" s="6">
        <v>2</v>
      </c>
      <c r="R76" s="6">
        <v>1</v>
      </c>
      <c r="S76" s="6">
        <v>0</v>
      </c>
      <c r="T76" s="6">
        <v>0</v>
      </c>
      <c r="U76" s="6">
        <v>0</v>
      </c>
      <c r="V76" s="3"/>
      <c r="W76" s="3"/>
      <c r="X76" s="7">
        <f>설정!$B$4*H76+설정!$B$5*O76*(1+설정!$B$9*(O76-1))+설정!$B$6*P76*(1+설정!$B$9*(P76-1))+설정!$B$7*Q76*(1+설정!$B$9*(Q76-1))+설정!$B$8*R76*(1+설정!$B$9*(R76-1))</f>
        <v>3591</v>
      </c>
      <c r="Y76" s="7">
        <f>설정!$B$10*(O76*(1+설정!$B$9*(O76-1))+P76*(1+설정!$B$9*(P76-1)))</f>
        <v>15</v>
      </c>
      <c r="Z76" s="7">
        <f t="shared" si="1"/>
        <v>0.30000000000000071</v>
      </c>
      <c r="AA76" s="7">
        <f>X76*설정!$B$11</f>
        <v>359.1</v>
      </c>
      <c r="AB76" s="3"/>
    </row>
    <row r="77" spans="1:28">
      <c r="A77" s="3" t="s">
        <v>358</v>
      </c>
      <c r="B77" s="4" t="s">
        <v>359</v>
      </c>
      <c r="C77" s="4" t="s">
        <v>360</v>
      </c>
      <c r="D77" s="4" t="s">
        <v>31</v>
      </c>
      <c r="E77" s="4" t="s">
        <v>361</v>
      </c>
      <c r="F77" s="4" t="s">
        <v>362</v>
      </c>
      <c r="G77" s="4" t="s">
        <v>315</v>
      </c>
      <c r="H77" s="5">
        <v>39.1</v>
      </c>
      <c r="I77" s="3" t="s">
        <v>363</v>
      </c>
      <c r="J77" s="3" t="s">
        <v>36</v>
      </c>
      <c r="K77" s="3" t="s">
        <v>37</v>
      </c>
      <c r="L77" s="3"/>
      <c r="M77" s="3"/>
      <c r="N77" s="3"/>
      <c r="O77" s="6">
        <v>1</v>
      </c>
      <c r="P77" s="6">
        <v>0</v>
      </c>
      <c r="Q77" s="6">
        <v>1</v>
      </c>
      <c r="R77" s="6">
        <v>2</v>
      </c>
      <c r="S77" s="6">
        <v>0</v>
      </c>
      <c r="T77" s="6">
        <v>0</v>
      </c>
      <c r="U77" s="6">
        <v>0</v>
      </c>
      <c r="V77" s="3"/>
      <c r="W77" s="4" t="s">
        <v>364</v>
      </c>
      <c r="X77" s="7">
        <f>설정!$B$4*H77+설정!$B$5*O77*(1+설정!$B$9*(O77-1))+설정!$B$6*P77*(1+설정!$B$9*(P77-1))+설정!$B$7*Q77*(1+설정!$B$9*(Q77-1))+설정!$B$8*R77*(1+설정!$B$9*(R77-1))</f>
        <v>3763</v>
      </c>
      <c r="Y77" s="7">
        <f>설정!$B$10*(O77*(1+설정!$B$9*(O77-1))+P77*(1+설정!$B$9*(P77-1)))</f>
        <v>15</v>
      </c>
      <c r="Z77" s="7">
        <f t="shared" si="1"/>
        <v>-24.1</v>
      </c>
      <c r="AA77" s="7">
        <f>X77*설정!$B$11</f>
        <v>376.3</v>
      </c>
      <c r="AB77" s="3"/>
    </row>
    <row r="78" spans="1:28">
      <c r="A78" s="3" t="s">
        <v>365</v>
      </c>
      <c r="B78" s="4" t="s">
        <v>366</v>
      </c>
      <c r="C78" s="4" t="s">
        <v>34</v>
      </c>
      <c r="D78" s="4" t="s">
        <v>31</v>
      </c>
      <c r="E78" s="4" t="s">
        <v>367</v>
      </c>
      <c r="F78" s="4" t="s">
        <v>362</v>
      </c>
      <c r="G78" s="4" t="s">
        <v>34</v>
      </c>
      <c r="H78" s="5">
        <v>118.6</v>
      </c>
      <c r="I78" s="3" t="s">
        <v>368</v>
      </c>
      <c r="J78" s="3" t="s">
        <v>36</v>
      </c>
      <c r="K78" s="3" t="s">
        <v>37</v>
      </c>
      <c r="L78" s="3"/>
      <c r="M78" s="3"/>
      <c r="N78" s="3"/>
      <c r="O78" s="6">
        <v>0</v>
      </c>
      <c r="P78" s="6">
        <v>0</v>
      </c>
      <c r="Q78" s="6">
        <v>2</v>
      </c>
      <c r="R78" s="6">
        <v>2</v>
      </c>
      <c r="S78" s="6">
        <v>0</v>
      </c>
      <c r="T78" s="6">
        <v>0</v>
      </c>
      <c r="U78" s="6">
        <v>0</v>
      </c>
      <c r="V78" s="3"/>
      <c r="W78" s="3"/>
      <c r="X78" s="7">
        <f>설정!$B$4*H78+설정!$B$5*O78*(1+설정!$B$9*(O78-1))+설정!$B$6*P78*(1+설정!$B$9*(P78-1))+설정!$B$7*Q78*(1+설정!$B$9*(Q78-1))+설정!$B$8*R78*(1+설정!$B$9*(R78-1))</f>
        <v>7398</v>
      </c>
      <c r="Y78" s="7">
        <f>설정!$B$10*(O78*(1+설정!$B$9*(O78-1))+P78*(1+설정!$B$9*(P78-1)))</f>
        <v>0</v>
      </c>
      <c r="Z78" s="7">
        <f t="shared" si="1"/>
        <v>-118.6</v>
      </c>
      <c r="AA78" s="7">
        <f>X78*설정!$B$11</f>
        <v>739.80000000000007</v>
      </c>
      <c r="AB78" s="3"/>
    </row>
    <row r="79" spans="1:28">
      <c r="A79" s="3" t="s">
        <v>369</v>
      </c>
      <c r="B79" s="4" t="s">
        <v>370</v>
      </c>
      <c r="C79" s="4" t="s">
        <v>34</v>
      </c>
      <c r="D79" s="4" t="s">
        <v>31</v>
      </c>
      <c r="E79" s="4" t="s">
        <v>371</v>
      </c>
      <c r="F79" s="4" t="s">
        <v>362</v>
      </c>
      <c r="G79" s="4" t="s">
        <v>34</v>
      </c>
      <c r="H79" s="5">
        <v>109.1</v>
      </c>
      <c r="I79" s="3" t="s">
        <v>372</v>
      </c>
      <c r="J79" s="3" t="s">
        <v>36</v>
      </c>
      <c r="K79" s="3" t="s">
        <v>37</v>
      </c>
      <c r="L79" s="3"/>
      <c r="M79" s="3"/>
      <c r="N79" s="3"/>
      <c r="O79" s="6">
        <v>1</v>
      </c>
      <c r="P79" s="6">
        <v>0</v>
      </c>
      <c r="Q79" s="6">
        <v>2</v>
      </c>
      <c r="R79" s="6">
        <v>2</v>
      </c>
      <c r="S79" s="6">
        <v>0</v>
      </c>
      <c r="T79" s="6">
        <v>0</v>
      </c>
      <c r="U79" s="6">
        <v>0</v>
      </c>
      <c r="V79" s="3"/>
      <c r="W79" s="3"/>
      <c r="X79" s="7">
        <f>설정!$B$4*H79+설정!$B$5*O79*(1+설정!$B$9*(O79-1))+설정!$B$6*P79*(1+설정!$B$9*(P79-1))+설정!$B$7*Q79*(1+설정!$B$9*(Q79-1))+설정!$B$8*R79*(1+설정!$B$9*(R79-1))</f>
        <v>7263</v>
      </c>
      <c r="Y79" s="7">
        <f>설정!$B$10*(O79*(1+설정!$B$9*(O79-1))+P79*(1+설정!$B$9*(P79-1)))</f>
        <v>15</v>
      </c>
      <c r="Z79" s="7">
        <f t="shared" si="1"/>
        <v>-94.1</v>
      </c>
      <c r="AA79" s="7">
        <f>X79*설정!$B$11</f>
        <v>726.30000000000007</v>
      </c>
      <c r="AB79" s="3"/>
    </row>
    <row r="80" spans="1:28">
      <c r="A80" s="3" t="s">
        <v>373</v>
      </c>
      <c r="B80" s="4" t="s">
        <v>374</v>
      </c>
      <c r="C80" s="4" t="s">
        <v>34</v>
      </c>
      <c r="D80" s="4" t="s">
        <v>31</v>
      </c>
      <c r="E80" s="4" t="s">
        <v>375</v>
      </c>
      <c r="F80" s="4" t="s">
        <v>362</v>
      </c>
      <c r="G80" s="4" t="s">
        <v>34</v>
      </c>
      <c r="H80" s="5">
        <v>105.7</v>
      </c>
      <c r="I80" s="3" t="s">
        <v>376</v>
      </c>
      <c r="J80" s="3" t="s">
        <v>36</v>
      </c>
      <c r="K80" s="3" t="s">
        <v>37</v>
      </c>
      <c r="L80" s="3"/>
      <c r="M80" s="3"/>
      <c r="N80" s="3"/>
      <c r="O80" s="6">
        <v>0</v>
      </c>
      <c r="P80" s="6">
        <v>0</v>
      </c>
      <c r="Q80" s="6">
        <v>1</v>
      </c>
      <c r="R80" s="6">
        <v>2</v>
      </c>
      <c r="S80" s="6">
        <v>0</v>
      </c>
      <c r="T80" s="6">
        <v>0</v>
      </c>
      <c r="U80" s="6">
        <v>0</v>
      </c>
      <c r="V80" s="3"/>
      <c r="W80" s="3"/>
      <c r="X80" s="7">
        <f>설정!$B$4*H80+설정!$B$5*O80*(1+설정!$B$9*(O80-1))+설정!$B$6*P80*(1+설정!$B$9*(P80-1))+설정!$B$7*Q80*(1+설정!$B$9*(Q80-1))+설정!$B$8*R80*(1+설정!$B$9*(R80-1))</f>
        <v>5611</v>
      </c>
      <c r="Y80" s="7">
        <f>설정!$B$10*(O80*(1+설정!$B$9*(O80-1))+P80*(1+설정!$B$9*(P80-1)))</f>
        <v>0</v>
      </c>
      <c r="Z80" s="7">
        <f t="shared" si="1"/>
        <v>-105.7</v>
      </c>
      <c r="AA80" s="7">
        <f>X80*설정!$B$11</f>
        <v>561.1</v>
      </c>
      <c r="AB80" s="3"/>
    </row>
    <row r="81" spans="1:28">
      <c r="A81" s="3" t="s">
        <v>377</v>
      </c>
      <c r="B81" s="4" t="s">
        <v>378</v>
      </c>
      <c r="C81" s="4" t="s">
        <v>34</v>
      </c>
      <c r="D81" s="4" t="s">
        <v>31</v>
      </c>
      <c r="E81" s="4" t="s">
        <v>379</v>
      </c>
      <c r="F81" s="4" t="s">
        <v>362</v>
      </c>
      <c r="G81" s="4" t="s">
        <v>34</v>
      </c>
      <c r="H81" s="5">
        <v>100</v>
      </c>
      <c r="I81" s="3" t="s">
        <v>380</v>
      </c>
      <c r="J81" s="3" t="s">
        <v>36</v>
      </c>
      <c r="K81" s="3" t="s">
        <v>140</v>
      </c>
      <c r="L81" s="4" t="s">
        <v>254</v>
      </c>
      <c r="M81" s="3"/>
      <c r="N81" s="3"/>
      <c r="O81" s="6">
        <v>1</v>
      </c>
      <c r="P81" s="6">
        <v>0</v>
      </c>
      <c r="Q81" s="6">
        <v>2</v>
      </c>
      <c r="R81" s="6">
        <v>2</v>
      </c>
      <c r="S81" s="6">
        <v>0</v>
      </c>
      <c r="T81" s="6">
        <v>0</v>
      </c>
      <c r="U81" s="6">
        <v>0</v>
      </c>
      <c r="V81" s="3"/>
      <c r="W81" s="4" t="s">
        <v>381</v>
      </c>
      <c r="X81" s="7">
        <f>설정!$B$4*H81+설정!$B$5*O81*(1+설정!$B$9*(O81-1))+설정!$B$6*P81*(1+설정!$B$9*(P81-1))+설정!$B$7*Q81*(1+설정!$B$9*(Q81-1))+설정!$B$8*R81*(1+설정!$B$9*(R81-1))</f>
        <v>6990</v>
      </c>
      <c r="Y81" s="7">
        <f>설정!$B$10*(O81*(1+설정!$B$9*(O81-1))+P81*(1+설정!$B$9*(P81-1)))</f>
        <v>15</v>
      </c>
      <c r="Z81" s="7">
        <f t="shared" si="1"/>
        <v>-85</v>
      </c>
      <c r="AA81" s="7">
        <f>X81*설정!$B$11</f>
        <v>699</v>
      </c>
      <c r="AB81" s="3"/>
    </row>
    <row r="82" spans="1:28">
      <c r="A82" s="3" t="s">
        <v>382</v>
      </c>
      <c r="B82" s="4" t="s">
        <v>383</v>
      </c>
      <c r="C82" s="4" t="s">
        <v>34</v>
      </c>
      <c r="D82" s="4" t="s">
        <v>31</v>
      </c>
      <c r="E82" s="4" t="s">
        <v>384</v>
      </c>
      <c r="F82" s="4" t="s">
        <v>362</v>
      </c>
      <c r="G82" s="4" t="s">
        <v>34</v>
      </c>
      <c r="H82" s="5">
        <v>90</v>
      </c>
      <c r="I82" s="3" t="s">
        <v>385</v>
      </c>
      <c r="J82" s="3" t="s">
        <v>36</v>
      </c>
      <c r="K82" s="3" t="s">
        <v>37</v>
      </c>
      <c r="L82" s="3"/>
      <c r="M82" s="3"/>
      <c r="N82" s="3"/>
      <c r="O82" s="6">
        <v>0</v>
      </c>
      <c r="P82" s="6">
        <v>0</v>
      </c>
      <c r="Q82" s="6">
        <v>1</v>
      </c>
      <c r="R82" s="6">
        <v>2</v>
      </c>
      <c r="S82" s="6">
        <v>0</v>
      </c>
      <c r="T82" s="6">
        <v>0</v>
      </c>
      <c r="U82" s="6">
        <v>0</v>
      </c>
      <c r="V82" s="3"/>
      <c r="W82" s="3"/>
      <c r="X82" s="7">
        <f>설정!$B$4*H82+설정!$B$5*O82*(1+설정!$B$9*(O82-1))+설정!$B$6*P82*(1+설정!$B$9*(P82-1))+설정!$B$7*Q82*(1+설정!$B$9*(Q82-1))+설정!$B$8*R82*(1+설정!$B$9*(R82-1))</f>
        <v>5140</v>
      </c>
      <c r="Y82" s="7">
        <f>설정!$B$10*(O82*(1+설정!$B$9*(O82-1))+P82*(1+설정!$B$9*(P82-1)))</f>
        <v>0</v>
      </c>
      <c r="Z82" s="7">
        <f t="shared" si="1"/>
        <v>-90</v>
      </c>
      <c r="AA82" s="7">
        <f>X82*설정!$B$11</f>
        <v>514</v>
      </c>
      <c r="AB82" s="3"/>
    </row>
    <row r="83" spans="1:28">
      <c r="A83" s="3" t="s">
        <v>386</v>
      </c>
      <c r="B83" s="4" t="s">
        <v>387</v>
      </c>
      <c r="C83" s="4" t="s">
        <v>34</v>
      </c>
      <c r="D83" s="4" t="s">
        <v>31</v>
      </c>
      <c r="E83" s="4" t="s">
        <v>388</v>
      </c>
      <c r="F83" s="4" t="s">
        <v>362</v>
      </c>
      <c r="G83" s="4" t="s">
        <v>34</v>
      </c>
      <c r="H83" s="5">
        <v>75.400000000000006</v>
      </c>
      <c r="I83" s="3" t="s">
        <v>389</v>
      </c>
      <c r="J83" s="3" t="s">
        <v>36</v>
      </c>
      <c r="K83" s="3" t="s">
        <v>37</v>
      </c>
      <c r="L83" s="3"/>
      <c r="M83" s="3"/>
      <c r="N83" s="3"/>
      <c r="O83" s="6">
        <v>0</v>
      </c>
      <c r="P83" s="6">
        <v>0</v>
      </c>
      <c r="Q83" s="6">
        <v>1</v>
      </c>
      <c r="R83" s="6">
        <v>1</v>
      </c>
      <c r="S83" s="6">
        <v>0</v>
      </c>
      <c r="T83" s="6">
        <v>0</v>
      </c>
      <c r="U83" s="6">
        <v>0</v>
      </c>
      <c r="V83" s="3"/>
      <c r="W83" s="3"/>
      <c r="X83" s="7">
        <f>설정!$B$4*H83+설정!$B$5*O83*(1+설정!$B$9*(O83-1))+설정!$B$6*P83*(1+설정!$B$9*(P83-1))+설정!$B$7*Q83*(1+설정!$B$9*(Q83-1))+설정!$B$8*R83*(1+설정!$B$9*(R83-1))</f>
        <v>3862</v>
      </c>
      <c r="Y83" s="7">
        <f>설정!$B$10*(O83*(1+설정!$B$9*(O83-1))+P83*(1+설정!$B$9*(P83-1)))</f>
        <v>0</v>
      </c>
      <c r="Z83" s="7">
        <f t="shared" si="1"/>
        <v>-75.400000000000006</v>
      </c>
      <c r="AA83" s="7">
        <f>X83*설정!$B$11</f>
        <v>386.20000000000005</v>
      </c>
      <c r="AB83" s="3"/>
    </row>
    <row r="84" spans="1:28">
      <c r="A84" s="3" t="s">
        <v>390</v>
      </c>
      <c r="B84" s="4" t="s">
        <v>391</v>
      </c>
      <c r="C84" s="4" t="s">
        <v>34</v>
      </c>
      <c r="D84" s="4" t="s">
        <v>31</v>
      </c>
      <c r="E84" s="4" t="s">
        <v>392</v>
      </c>
      <c r="F84" s="4" t="s">
        <v>362</v>
      </c>
      <c r="G84" s="4" t="s">
        <v>34</v>
      </c>
      <c r="H84" s="5">
        <v>72.7</v>
      </c>
      <c r="I84" s="3" t="s">
        <v>393</v>
      </c>
      <c r="J84" s="3" t="s">
        <v>36</v>
      </c>
      <c r="K84" s="3" t="s">
        <v>37</v>
      </c>
      <c r="L84" s="3"/>
      <c r="M84" s="3"/>
      <c r="N84" s="3"/>
      <c r="O84" s="6">
        <v>1</v>
      </c>
      <c r="P84" s="6">
        <v>0</v>
      </c>
      <c r="Q84" s="6">
        <v>1</v>
      </c>
      <c r="R84" s="6">
        <v>1</v>
      </c>
      <c r="S84" s="6">
        <v>0</v>
      </c>
      <c r="T84" s="6">
        <v>0</v>
      </c>
      <c r="U84" s="6">
        <v>0</v>
      </c>
      <c r="V84" s="3"/>
      <c r="W84" s="4" t="s">
        <v>394</v>
      </c>
      <c r="X84" s="7">
        <f>설정!$B$4*H84+설정!$B$5*O84*(1+설정!$B$9*(O84-1))+설정!$B$6*P84*(1+설정!$B$9*(P84-1))+설정!$B$7*Q84*(1+설정!$B$9*(Q84-1))+설정!$B$8*R84*(1+설정!$B$9*(R84-1))</f>
        <v>3931</v>
      </c>
      <c r="Y84" s="7">
        <f>설정!$B$10*(O84*(1+설정!$B$9*(O84-1))+P84*(1+설정!$B$9*(P84-1)))</f>
        <v>15</v>
      </c>
      <c r="Z84" s="7">
        <f t="shared" si="1"/>
        <v>-57.7</v>
      </c>
      <c r="AA84" s="7">
        <f>X84*설정!$B$11</f>
        <v>393.1</v>
      </c>
      <c r="AB84" s="3"/>
    </row>
    <row r="85" spans="1:28">
      <c r="A85" s="3" t="s">
        <v>395</v>
      </c>
      <c r="B85" s="4" t="s">
        <v>396</v>
      </c>
      <c r="C85" s="4" t="s">
        <v>34</v>
      </c>
      <c r="D85" s="4" t="s">
        <v>31</v>
      </c>
      <c r="E85" s="4" t="s">
        <v>397</v>
      </c>
      <c r="F85" s="4" t="s">
        <v>362</v>
      </c>
      <c r="G85" s="4" t="s">
        <v>34</v>
      </c>
      <c r="H85" s="5">
        <v>62.3</v>
      </c>
      <c r="I85" s="3" t="s">
        <v>398</v>
      </c>
      <c r="J85" s="3" t="s">
        <v>36</v>
      </c>
      <c r="K85" s="3" t="s">
        <v>140</v>
      </c>
      <c r="L85" s="4" t="s">
        <v>254</v>
      </c>
      <c r="M85" s="3"/>
      <c r="N85" s="3"/>
      <c r="O85" s="6">
        <v>2</v>
      </c>
      <c r="P85" s="6">
        <v>0</v>
      </c>
      <c r="Q85" s="6">
        <v>2</v>
      </c>
      <c r="R85" s="6">
        <v>1</v>
      </c>
      <c r="S85" s="6">
        <v>0</v>
      </c>
      <c r="T85" s="6">
        <v>0</v>
      </c>
      <c r="U85" s="6">
        <v>0</v>
      </c>
      <c r="V85" s="3"/>
      <c r="W85" s="3"/>
      <c r="X85" s="7">
        <f>설정!$B$4*H85+설정!$B$5*O85*(1+설정!$B$9*(O85-1))+설정!$B$6*P85*(1+설정!$B$9*(P85-1))+설정!$B$7*Q85*(1+설정!$B$9*(Q85-1))+설정!$B$8*R85*(1+설정!$B$9*(R85-1))</f>
        <v>5229</v>
      </c>
      <c r="Y85" s="7">
        <f>설정!$B$10*(O85*(1+설정!$B$9*(O85-1))+P85*(1+설정!$B$9*(P85-1)))</f>
        <v>36</v>
      </c>
      <c r="Z85" s="7">
        <f t="shared" si="1"/>
        <v>-26.299999999999997</v>
      </c>
      <c r="AA85" s="7">
        <f>X85*설정!$B$11</f>
        <v>522.9</v>
      </c>
      <c r="AB85" s="3"/>
    </row>
    <row r="86" spans="1:28">
      <c r="A86" s="3" t="s">
        <v>399</v>
      </c>
      <c r="B86" s="4" t="s">
        <v>400</v>
      </c>
      <c r="C86" s="4" t="s">
        <v>34</v>
      </c>
      <c r="D86" s="4" t="s">
        <v>31</v>
      </c>
      <c r="E86" s="4" t="s">
        <v>401</v>
      </c>
      <c r="F86" s="4" t="s">
        <v>362</v>
      </c>
      <c r="G86" s="4" t="s">
        <v>34</v>
      </c>
      <c r="H86" s="5">
        <v>60.8</v>
      </c>
      <c r="I86" s="3" t="s">
        <v>402</v>
      </c>
      <c r="J86" s="3" t="s">
        <v>36</v>
      </c>
      <c r="K86" s="3" t="s">
        <v>140</v>
      </c>
      <c r="L86" s="4" t="s">
        <v>254</v>
      </c>
      <c r="M86" s="3"/>
      <c r="N86" s="3"/>
      <c r="O86" s="6">
        <v>0</v>
      </c>
      <c r="P86" s="6">
        <v>1</v>
      </c>
      <c r="Q86" s="6">
        <v>2</v>
      </c>
      <c r="R86" s="6">
        <v>1</v>
      </c>
      <c r="S86" s="6">
        <v>0</v>
      </c>
      <c r="T86" s="6">
        <v>0</v>
      </c>
      <c r="U86" s="6">
        <v>0</v>
      </c>
      <c r="V86" s="3"/>
      <c r="W86" s="4" t="s">
        <v>403</v>
      </c>
      <c r="X86" s="7">
        <f>설정!$B$4*H86+설정!$B$5*O86*(1+설정!$B$9*(O86-1))+설정!$B$6*P86*(1+설정!$B$9*(P86-1))+설정!$B$7*Q86*(1+설정!$B$9*(Q86-1))+설정!$B$8*R86*(1+설정!$B$9*(R86-1))</f>
        <v>4974</v>
      </c>
      <c r="Y86" s="7">
        <f>설정!$B$10*(O86*(1+설정!$B$9*(O86-1))+P86*(1+설정!$B$9*(P86-1)))</f>
        <v>15</v>
      </c>
      <c r="Z86" s="7">
        <f t="shared" si="1"/>
        <v>-45.8</v>
      </c>
      <c r="AA86" s="7">
        <f>X86*설정!$B$11</f>
        <v>497.40000000000003</v>
      </c>
      <c r="AB86" s="3"/>
    </row>
    <row r="87" spans="1:28">
      <c r="A87" s="3" t="s">
        <v>404</v>
      </c>
      <c r="B87" s="4" t="s">
        <v>405</v>
      </c>
      <c r="C87" s="4" t="s">
        <v>34</v>
      </c>
      <c r="D87" s="4" t="s">
        <v>31</v>
      </c>
      <c r="E87" s="4" t="s">
        <v>406</v>
      </c>
      <c r="F87" s="4" t="s">
        <v>362</v>
      </c>
      <c r="G87" s="4" t="s">
        <v>34</v>
      </c>
      <c r="H87" s="5">
        <v>56.2</v>
      </c>
      <c r="I87" s="3" t="s">
        <v>407</v>
      </c>
      <c r="J87" s="3" t="s">
        <v>36</v>
      </c>
      <c r="K87" s="3" t="s">
        <v>37</v>
      </c>
      <c r="L87" s="3"/>
      <c r="M87" s="3"/>
      <c r="N87" s="3"/>
      <c r="O87" s="6">
        <v>0</v>
      </c>
      <c r="P87" s="6">
        <v>0</v>
      </c>
      <c r="Q87" s="6">
        <v>1</v>
      </c>
      <c r="R87" s="6">
        <v>1</v>
      </c>
      <c r="S87" s="6">
        <v>0</v>
      </c>
      <c r="T87" s="6">
        <v>0</v>
      </c>
      <c r="U87" s="6">
        <v>0</v>
      </c>
      <c r="V87" s="3"/>
      <c r="W87" s="3"/>
      <c r="X87" s="7">
        <f>설정!$B$4*H87+설정!$B$5*O87*(1+설정!$B$9*(O87-1))+설정!$B$6*P87*(1+설정!$B$9*(P87-1))+설정!$B$7*Q87*(1+설정!$B$9*(Q87-1))+설정!$B$8*R87*(1+설정!$B$9*(R87-1))</f>
        <v>3286</v>
      </c>
      <c r="Y87" s="7">
        <f>설정!$B$10*(O87*(1+설정!$B$9*(O87-1))+P87*(1+설정!$B$9*(P87-1)))</f>
        <v>0</v>
      </c>
      <c r="Z87" s="7">
        <f t="shared" si="1"/>
        <v>-56.2</v>
      </c>
      <c r="AA87" s="7">
        <f>X87*설정!$B$11</f>
        <v>328.6</v>
      </c>
      <c r="AB87" s="3"/>
    </row>
    <row r="88" spans="1:28">
      <c r="A88" s="3" t="s">
        <v>408</v>
      </c>
      <c r="B88" s="4" t="s">
        <v>409</v>
      </c>
      <c r="C88" s="4" t="s">
        <v>34</v>
      </c>
      <c r="D88" s="4" t="s">
        <v>31</v>
      </c>
      <c r="E88" s="4" t="s">
        <v>410</v>
      </c>
      <c r="F88" s="4" t="s">
        <v>362</v>
      </c>
      <c r="G88" s="4" t="s">
        <v>34</v>
      </c>
      <c r="H88" s="5">
        <v>53.6</v>
      </c>
      <c r="I88" s="3" t="s">
        <v>411</v>
      </c>
      <c r="J88" s="3" t="s">
        <v>36</v>
      </c>
      <c r="K88" s="3" t="s">
        <v>37</v>
      </c>
      <c r="L88" s="3"/>
      <c r="M88" s="3"/>
      <c r="N88" s="3"/>
      <c r="O88" s="6">
        <v>1</v>
      </c>
      <c r="P88" s="6">
        <v>0</v>
      </c>
      <c r="Q88" s="6">
        <v>2</v>
      </c>
      <c r="R88" s="6">
        <v>1</v>
      </c>
      <c r="S88" s="6">
        <v>0</v>
      </c>
      <c r="T88" s="6">
        <v>0</v>
      </c>
      <c r="U88" s="6">
        <v>0</v>
      </c>
      <c r="V88" s="3"/>
      <c r="W88" s="4" t="s">
        <v>412</v>
      </c>
      <c r="X88" s="7">
        <f>설정!$B$4*H88+설정!$B$5*O88*(1+설정!$B$9*(O88-1))+설정!$B$6*P88*(1+설정!$B$9*(P88-1))+설정!$B$7*Q88*(1+설정!$B$9*(Q88-1))+설정!$B$8*R88*(1+설정!$B$9*(R88-1))</f>
        <v>4758</v>
      </c>
      <c r="Y88" s="7">
        <f>설정!$B$10*(O88*(1+설정!$B$9*(O88-1))+P88*(1+설정!$B$9*(P88-1)))</f>
        <v>15</v>
      </c>
      <c r="Z88" s="7">
        <f t="shared" si="1"/>
        <v>-38.6</v>
      </c>
      <c r="AA88" s="7">
        <f>X88*설정!$B$11</f>
        <v>475.8</v>
      </c>
      <c r="AB88" s="3"/>
    </row>
    <row r="89" spans="1:28">
      <c r="A89" s="3" t="s">
        <v>413</v>
      </c>
      <c r="B89" s="4" t="s">
        <v>414</v>
      </c>
      <c r="C89" s="4" t="s">
        <v>34</v>
      </c>
      <c r="D89" s="4" t="s">
        <v>31</v>
      </c>
      <c r="E89" s="4" t="s">
        <v>415</v>
      </c>
      <c r="F89" s="4" t="s">
        <v>362</v>
      </c>
      <c r="G89" s="4" t="s">
        <v>34</v>
      </c>
      <c r="H89" s="5">
        <v>51.5</v>
      </c>
      <c r="I89" s="3" t="s">
        <v>416</v>
      </c>
      <c r="J89" s="3" t="s">
        <v>36</v>
      </c>
      <c r="K89" s="3" t="s">
        <v>140</v>
      </c>
      <c r="L89" s="4" t="s">
        <v>254</v>
      </c>
      <c r="M89" s="3"/>
      <c r="N89" s="3"/>
      <c r="O89" s="6">
        <v>1</v>
      </c>
      <c r="P89" s="6">
        <v>1</v>
      </c>
      <c r="Q89" s="6">
        <v>2</v>
      </c>
      <c r="R89" s="6">
        <v>1</v>
      </c>
      <c r="S89" s="6">
        <v>0</v>
      </c>
      <c r="T89" s="6">
        <v>0</v>
      </c>
      <c r="U89" s="6">
        <v>0</v>
      </c>
      <c r="V89" s="3"/>
      <c r="W89" s="3"/>
      <c r="X89" s="7">
        <f>설정!$B$4*H89+설정!$B$5*O89*(1+설정!$B$9*(O89-1))+설정!$B$6*P89*(1+설정!$B$9*(P89-1))+설정!$B$7*Q89*(1+설정!$B$9*(Q89-1))+설정!$B$8*R89*(1+설정!$B$9*(R89-1))</f>
        <v>4845</v>
      </c>
      <c r="Y89" s="7">
        <f>설정!$B$10*(O89*(1+설정!$B$9*(O89-1))+P89*(1+설정!$B$9*(P89-1)))</f>
        <v>30</v>
      </c>
      <c r="Z89" s="7">
        <f t="shared" si="1"/>
        <v>-21.5</v>
      </c>
      <c r="AA89" s="7">
        <f>X89*설정!$B$11</f>
        <v>484.5</v>
      </c>
      <c r="AB89" s="3"/>
    </row>
    <row r="90" spans="1:28">
      <c r="A90" s="3" t="s">
        <v>417</v>
      </c>
      <c r="B90" s="4" t="s">
        <v>418</v>
      </c>
      <c r="C90" s="4" t="s">
        <v>34</v>
      </c>
      <c r="D90" s="4" t="s">
        <v>31</v>
      </c>
      <c r="E90" s="4" t="s">
        <v>419</v>
      </c>
      <c r="F90" s="4" t="s">
        <v>362</v>
      </c>
      <c r="G90" s="4" t="s">
        <v>34</v>
      </c>
      <c r="H90" s="5">
        <v>48.4</v>
      </c>
      <c r="I90" s="3" t="s">
        <v>420</v>
      </c>
      <c r="J90" s="3" t="s">
        <v>36</v>
      </c>
      <c r="K90" s="3" t="s">
        <v>140</v>
      </c>
      <c r="L90" s="4" t="s">
        <v>254</v>
      </c>
      <c r="M90" s="3"/>
      <c r="N90" s="3"/>
      <c r="O90" s="6">
        <v>1</v>
      </c>
      <c r="P90" s="6">
        <v>1</v>
      </c>
      <c r="Q90" s="6">
        <v>1</v>
      </c>
      <c r="R90" s="6">
        <v>1</v>
      </c>
      <c r="S90" s="6">
        <v>0</v>
      </c>
      <c r="T90" s="6">
        <v>0</v>
      </c>
      <c r="U90" s="6">
        <v>0</v>
      </c>
      <c r="V90" s="3"/>
      <c r="W90" s="4" t="s">
        <v>421</v>
      </c>
      <c r="X90" s="7">
        <f>설정!$B$4*H90+설정!$B$5*O90*(1+설정!$B$9*(O90-1))+설정!$B$6*P90*(1+설정!$B$9*(P90-1))+설정!$B$7*Q90*(1+설정!$B$9*(Q90-1))+설정!$B$8*R90*(1+설정!$B$9*(R90-1))</f>
        <v>3352</v>
      </c>
      <c r="Y90" s="7">
        <f>설정!$B$10*(O90*(1+설정!$B$9*(O90-1))+P90*(1+설정!$B$9*(P90-1)))</f>
        <v>30</v>
      </c>
      <c r="Z90" s="7">
        <f t="shared" si="1"/>
        <v>-18.399999999999999</v>
      </c>
      <c r="AA90" s="7">
        <f>X90*설정!$B$11</f>
        <v>335.20000000000005</v>
      </c>
      <c r="AB90" s="3"/>
    </row>
    <row r="91" spans="1:28">
      <c r="A91" s="3" t="s">
        <v>422</v>
      </c>
      <c r="B91" s="4" t="s">
        <v>423</v>
      </c>
      <c r="C91" s="4" t="s">
        <v>34</v>
      </c>
      <c r="D91" s="4" t="s">
        <v>31</v>
      </c>
      <c r="E91" s="4" t="s">
        <v>424</v>
      </c>
      <c r="F91" s="4" t="s">
        <v>362</v>
      </c>
      <c r="G91" s="4" t="s">
        <v>34</v>
      </c>
      <c r="H91" s="5">
        <v>46.2</v>
      </c>
      <c r="I91" s="3" t="s">
        <v>425</v>
      </c>
      <c r="J91" s="3" t="s">
        <v>36</v>
      </c>
      <c r="K91" s="3" t="s">
        <v>37</v>
      </c>
      <c r="L91" s="3"/>
      <c r="M91" s="3"/>
      <c r="N91" s="3"/>
      <c r="O91" s="6">
        <v>0</v>
      </c>
      <c r="P91" s="6">
        <v>0</v>
      </c>
      <c r="Q91" s="6">
        <v>1</v>
      </c>
      <c r="R91" s="6">
        <v>1</v>
      </c>
      <c r="S91" s="6">
        <v>0</v>
      </c>
      <c r="T91" s="6">
        <v>0</v>
      </c>
      <c r="U91" s="6">
        <v>0</v>
      </c>
      <c r="V91" s="3"/>
      <c r="W91" s="3"/>
      <c r="X91" s="7">
        <f>설정!$B$4*H91+설정!$B$5*O91*(1+설정!$B$9*(O91-1))+설정!$B$6*P91*(1+설정!$B$9*(P91-1))+설정!$B$7*Q91*(1+설정!$B$9*(Q91-1))+설정!$B$8*R91*(1+설정!$B$9*(R91-1))</f>
        <v>2986</v>
      </c>
      <c r="Y91" s="7">
        <f>설정!$B$10*(O91*(1+설정!$B$9*(O91-1))+P91*(1+설정!$B$9*(P91-1)))</f>
        <v>0</v>
      </c>
      <c r="Z91" s="7">
        <f t="shared" si="1"/>
        <v>-46.2</v>
      </c>
      <c r="AA91" s="7">
        <f>X91*설정!$B$11</f>
        <v>298.60000000000002</v>
      </c>
      <c r="AB91" s="3"/>
    </row>
    <row r="92" spans="1:28">
      <c r="A92" s="3" t="s">
        <v>426</v>
      </c>
      <c r="B92" s="4" t="s">
        <v>427</v>
      </c>
      <c r="C92" s="4" t="s">
        <v>34</v>
      </c>
      <c r="D92" s="4" t="s">
        <v>31</v>
      </c>
      <c r="E92" s="4" t="s">
        <v>428</v>
      </c>
      <c r="F92" s="4" t="s">
        <v>362</v>
      </c>
      <c r="G92" s="4" t="s">
        <v>34</v>
      </c>
      <c r="H92" s="5">
        <v>40.1</v>
      </c>
      <c r="I92" s="3" t="s">
        <v>429</v>
      </c>
      <c r="J92" s="3" t="s">
        <v>36</v>
      </c>
      <c r="K92" s="3" t="s">
        <v>37</v>
      </c>
      <c r="L92" s="3"/>
      <c r="M92" s="3"/>
      <c r="N92" s="3"/>
      <c r="O92" s="6">
        <v>1</v>
      </c>
      <c r="P92" s="6">
        <v>0</v>
      </c>
      <c r="Q92" s="6">
        <v>1</v>
      </c>
      <c r="R92" s="6">
        <v>1</v>
      </c>
      <c r="S92" s="6">
        <v>0</v>
      </c>
      <c r="T92" s="6">
        <v>0</v>
      </c>
      <c r="U92" s="6">
        <v>0</v>
      </c>
      <c r="V92" s="3"/>
      <c r="W92" s="4" t="s">
        <v>430</v>
      </c>
      <c r="X92" s="7">
        <f>설정!$B$4*H92+설정!$B$5*O92*(1+설정!$B$9*(O92-1))+설정!$B$6*P92*(1+설정!$B$9*(P92-1))+설정!$B$7*Q92*(1+설정!$B$9*(Q92-1))+설정!$B$8*R92*(1+설정!$B$9*(R92-1))</f>
        <v>2953</v>
      </c>
      <c r="Y92" s="7">
        <f>설정!$B$10*(O92*(1+설정!$B$9*(O92-1))+P92*(1+설정!$B$9*(P92-1)))</f>
        <v>15</v>
      </c>
      <c r="Z92" s="7">
        <f t="shared" si="1"/>
        <v>-25.1</v>
      </c>
      <c r="AA92" s="7">
        <f>X92*설정!$B$11</f>
        <v>295.3</v>
      </c>
      <c r="AB92" s="3"/>
    </row>
    <row r="93" spans="1:28">
      <c r="A93" s="3" t="s">
        <v>431</v>
      </c>
      <c r="B93" s="4" t="s">
        <v>432</v>
      </c>
      <c r="C93" s="4" t="s">
        <v>34</v>
      </c>
      <c r="D93" s="4" t="s">
        <v>31</v>
      </c>
      <c r="E93" s="4" t="s">
        <v>433</v>
      </c>
      <c r="F93" s="4" t="s">
        <v>362</v>
      </c>
      <c r="G93" s="4" t="s">
        <v>34</v>
      </c>
      <c r="H93" s="5">
        <v>32.700000000000003</v>
      </c>
      <c r="I93" s="3" t="s">
        <v>434</v>
      </c>
      <c r="J93" s="3" t="s">
        <v>36</v>
      </c>
      <c r="K93" s="3" t="s">
        <v>37</v>
      </c>
      <c r="L93" s="3"/>
      <c r="M93" s="3"/>
      <c r="N93" s="3"/>
      <c r="O93" s="6">
        <v>1</v>
      </c>
      <c r="P93" s="6">
        <v>0</v>
      </c>
      <c r="Q93" s="6">
        <v>1</v>
      </c>
      <c r="R93" s="6">
        <v>1</v>
      </c>
      <c r="S93" s="6">
        <v>0</v>
      </c>
      <c r="T93" s="6">
        <v>0</v>
      </c>
      <c r="U93" s="6">
        <v>0</v>
      </c>
      <c r="V93" s="3"/>
      <c r="W93" s="3"/>
      <c r="X93" s="7">
        <f>설정!$B$4*H93+설정!$B$5*O93*(1+설정!$B$9*(O93-1))+설정!$B$6*P93*(1+설정!$B$9*(P93-1))+설정!$B$7*Q93*(1+설정!$B$9*(Q93-1))+설정!$B$8*R93*(1+설정!$B$9*(R93-1))</f>
        <v>2731</v>
      </c>
      <c r="Y93" s="7">
        <f>설정!$B$10*(O93*(1+설정!$B$9*(O93-1))+P93*(1+설정!$B$9*(P93-1)))</f>
        <v>15</v>
      </c>
      <c r="Z93" s="7">
        <f t="shared" si="1"/>
        <v>-17.700000000000003</v>
      </c>
      <c r="AA93" s="7">
        <f>X93*설정!$B$11</f>
        <v>273.10000000000002</v>
      </c>
      <c r="AB93" s="3"/>
    </row>
    <row r="94" spans="1:28">
      <c r="A94" s="3" t="s">
        <v>435</v>
      </c>
      <c r="B94" s="4" t="s">
        <v>436</v>
      </c>
      <c r="C94" s="4" t="s">
        <v>34</v>
      </c>
      <c r="D94" s="4" t="s">
        <v>31</v>
      </c>
      <c r="E94" s="4" t="s">
        <v>437</v>
      </c>
      <c r="F94" s="4" t="s">
        <v>362</v>
      </c>
      <c r="G94" s="4" t="s">
        <v>34</v>
      </c>
      <c r="H94" s="5">
        <v>30.4</v>
      </c>
      <c r="I94" s="3" t="s">
        <v>438</v>
      </c>
      <c r="J94" s="3" t="s">
        <v>36</v>
      </c>
      <c r="K94" s="3" t="s">
        <v>37</v>
      </c>
      <c r="L94" s="3"/>
      <c r="M94" s="3"/>
      <c r="N94" s="3"/>
      <c r="O94" s="6">
        <v>0</v>
      </c>
      <c r="P94" s="6">
        <v>0</v>
      </c>
      <c r="Q94" s="6">
        <v>1</v>
      </c>
      <c r="R94" s="6">
        <v>1</v>
      </c>
      <c r="S94" s="6">
        <v>0</v>
      </c>
      <c r="T94" s="6">
        <v>0</v>
      </c>
      <c r="U94" s="6">
        <v>0</v>
      </c>
      <c r="V94" s="3"/>
      <c r="W94" s="3"/>
      <c r="X94" s="7">
        <f>설정!$B$4*H94+설정!$B$5*O94*(1+설정!$B$9*(O94-1))+설정!$B$6*P94*(1+설정!$B$9*(P94-1))+설정!$B$7*Q94*(1+설정!$B$9*(Q94-1))+설정!$B$8*R94*(1+설정!$B$9*(R94-1))</f>
        <v>2512</v>
      </c>
      <c r="Y94" s="7">
        <f>설정!$B$10*(O94*(1+설정!$B$9*(O94-1))+P94*(1+설정!$B$9*(P94-1)))</f>
        <v>0</v>
      </c>
      <c r="Z94" s="7">
        <f t="shared" si="1"/>
        <v>-30.4</v>
      </c>
      <c r="AA94" s="7">
        <f>X94*설정!$B$11</f>
        <v>251.20000000000002</v>
      </c>
      <c r="AB94" s="3"/>
    </row>
    <row r="95" spans="1:28">
      <c r="A95" s="3" t="s">
        <v>439</v>
      </c>
      <c r="B95" s="4" t="s">
        <v>440</v>
      </c>
      <c r="C95" s="4" t="s">
        <v>34</v>
      </c>
      <c r="D95" s="4" t="s">
        <v>31</v>
      </c>
      <c r="E95" s="4" t="s">
        <v>441</v>
      </c>
      <c r="F95" s="4" t="s">
        <v>362</v>
      </c>
      <c r="G95" s="4" t="s">
        <v>34</v>
      </c>
      <c r="H95" s="5">
        <v>29.8</v>
      </c>
      <c r="I95" s="3" t="s">
        <v>442</v>
      </c>
      <c r="J95" s="3" t="s">
        <v>36</v>
      </c>
      <c r="K95" s="3" t="s">
        <v>37</v>
      </c>
      <c r="L95" s="3"/>
      <c r="M95" s="3"/>
      <c r="N95" s="3"/>
      <c r="O95" s="6">
        <v>1</v>
      </c>
      <c r="P95" s="6">
        <v>0</v>
      </c>
      <c r="Q95" s="6">
        <v>1</v>
      </c>
      <c r="R95" s="6">
        <v>1</v>
      </c>
      <c r="S95" s="6">
        <v>0</v>
      </c>
      <c r="T95" s="6">
        <v>0</v>
      </c>
      <c r="U95" s="6">
        <v>0</v>
      </c>
      <c r="V95" s="3"/>
      <c r="W95" s="3"/>
      <c r="X95" s="7">
        <f>설정!$B$4*H95+설정!$B$5*O95*(1+설정!$B$9*(O95-1))+설정!$B$6*P95*(1+설정!$B$9*(P95-1))+설정!$B$7*Q95*(1+설정!$B$9*(Q95-1))+설정!$B$8*R95*(1+설정!$B$9*(R95-1))</f>
        <v>2644</v>
      </c>
      <c r="Y95" s="7">
        <f>설정!$B$10*(O95*(1+설정!$B$9*(O95-1))+P95*(1+설정!$B$9*(P95-1)))</f>
        <v>15</v>
      </c>
      <c r="Z95" s="7">
        <f t="shared" si="1"/>
        <v>-14.8</v>
      </c>
      <c r="AA95" s="7">
        <f>X95*설정!$B$11</f>
        <v>264.40000000000003</v>
      </c>
      <c r="AB95" s="3"/>
    </row>
    <row r="96" spans="1:28">
      <c r="A96" s="3" t="s">
        <v>443</v>
      </c>
      <c r="B96" s="4" t="s">
        <v>444</v>
      </c>
      <c r="C96" s="4" t="s">
        <v>34</v>
      </c>
      <c r="D96" s="4" t="s">
        <v>31</v>
      </c>
      <c r="E96" s="4" t="s">
        <v>445</v>
      </c>
      <c r="F96" s="4" t="s">
        <v>362</v>
      </c>
      <c r="G96" s="4" t="s">
        <v>34</v>
      </c>
      <c r="H96" s="5">
        <v>25.5</v>
      </c>
      <c r="I96" s="3" t="s">
        <v>446</v>
      </c>
      <c r="J96" s="3" t="s">
        <v>36</v>
      </c>
      <c r="K96" s="3" t="s">
        <v>37</v>
      </c>
      <c r="L96" s="3"/>
      <c r="M96" s="3"/>
      <c r="N96" s="3"/>
      <c r="O96" s="6">
        <v>0</v>
      </c>
      <c r="P96" s="6">
        <v>0</v>
      </c>
      <c r="Q96" s="6">
        <v>1</v>
      </c>
      <c r="R96" s="6">
        <v>1</v>
      </c>
      <c r="S96" s="6">
        <v>0</v>
      </c>
      <c r="T96" s="6">
        <v>0</v>
      </c>
      <c r="U96" s="6">
        <v>0</v>
      </c>
      <c r="V96" s="3"/>
      <c r="W96" s="3"/>
      <c r="X96" s="7">
        <f>설정!$B$4*H96+설정!$B$5*O96*(1+설정!$B$9*(O96-1))+설정!$B$6*P96*(1+설정!$B$9*(P96-1))+설정!$B$7*Q96*(1+설정!$B$9*(Q96-1))+설정!$B$8*R96*(1+설정!$B$9*(R96-1))</f>
        <v>2365</v>
      </c>
      <c r="Y96" s="7">
        <f>설정!$B$10*(O96*(1+설정!$B$9*(O96-1))+P96*(1+설정!$B$9*(P96-1)))</f>
        <v>0</v>
      </c>
      <c r="Z96" s="7">
        <f t="shared" si="1"/>
        <v>-25.5</v>
      </c>
      <c r="AA96" s="7">
        <f>X96*설정!$B$11</f>
        <v>236.5</v>
      </c>
      <c r="AB96" s="3"/>
    </row>
    <row r="97" spans="1:28">
      <c r="A97" s="3" t="s">
        <v>447</v>
      </c>
      <c r="B97" s="4" t="s">
        <v>448</v>
      </c>
      <c r="C97" s="4" t="s">
        <v>34</v>
      </c>
      <c r="D97" s="4" t="s">
        <v>31</v>
      </c>
      <c r="E97" s="4" t="s">
        <v>449</v>
      </c>
      <c r="F97" s="4" t="s">
        <v>362</v>
      </c>
      <c r="G97" s="4" t="s">
        <v>34</v>
      </c>
      <c r="H97" s="5">
        <v>24.9</v>
      </c>
      <c r="I97" s="3" t="s">
        <v>450</v>
      </c>
      <c r="J97" s="3" t="s">
        <v>36</v>
      </c>
      <c r="K97" s="3" t="s">
        <v>37</v>
      </c>
      <c r="L97" s="3"/>
      <c r="M97" s="3"/>
      <c r="N97" s="3"/>
      <c r="O97" s="6">
        <v>0</v>
      </c>
      <c r="P97" s="6">
        <v>0</v>
      </c>
      <c r="Q97" s="6">
        <v>1</v>
      </c>
      <c r="R97" s="6">
        <v>1</v>
      </c>
      <c r="S97" s="6">
        <v>0</v>
      </c>
      <c r="T97" s="6">
        <v>0</v>
      </c>
      <c r="U97" s="6">
        <v>0</v>
      </c>
      <c r="V97" s="3"/>
      <c r="W97" s="3"/>
      <c r="X97" s="7">
        <f>설정!$B$4*H97+설정!$B$5*O97*(1+설정!$B$9*(O97-1))+설정!$B$6*P97*(1+설정!$B$9*(P97-1))+설정!$B$7*Q97*(1+설정!$B$9*(Q97-1))+설정!$B$8*R97*(1+설정!$B$9*(R97-1))</f>
        <v>2347</v>
      </c>
      <c r="Y97" s="7">
        <f>설정!$B$10*(O97*(1+설정!$B$9*(O97-1))+P97*(1+설정!$B$9*(P97-1)))</f>
        <v>0</v>
      </c>
      <c r="Z97" s="7">
        <f t="shared" si="1"/>
        <v>-24.9</v>
      </c>
      <c r="AA97" s="7">
        <f>X97*설정!$B$11</f>
        <v>234.70000000000002</v>
      </c>
      <c r="AB97" s="3"/>
    </row>
    <row r="98" spans="1:28">
      <c r="A98" s="3" t="s">
        <v>451</v>
      </c>
      <c r="B98" s="4" t="s">
        <v>452</v>
      </c>
      <c r="C98" s="4" t="s">
        <v>34</v>
      </c>
      <c r="D98" s="4" t="s">
        <v>31</v>
      </c>
      <c r="E98" s="4" t="s">
        <v>453</v>
      </c>
      <c r="F98" s="4" t="s">
        <v>362</v>
      </c>
      <c r="G98" s="4" t="s">
        <v>34</v>
      </c>
      <c r="H98" s="5">
        <v>22.7</v>
      </c>
      <c r="I98" s="3" t="s">
        <v>454</v>
      </c>
      <c r="J98" s="3" t="s">
        <v>36</v>
      </c>
      <c r="K98" s="3" t="s">
        <v>37</v>
      </c>
      <c r="L98" s="3"/>
      <c r="M98" s="3"/>
      <c r="N98" s="3"/>
      <c r="O98" s="6">
        <v>2</v>
      </c>
      <c r="P98" s="6">
        <v>0</v>
      </c>
      <c r="Q98" s="6">
        <v>2</v>
      </c>
      <c r="R98" s="6">
        <v>1</v>
      </c>
      <c r="S98" s="6">
        <v>0</v>
      </c>
      <c r="T98" s="6">
        <v>0</v>
      </c>
      <c r="U98" s="6">
        <v>0</v>
      </c>
      <c r="V98" s="3"/>
      <c r="W98" s="4" t="s">
        <v>455</v>
      </c>
      <c r="X98" s="7">
        <f>설정!$B$4*H98+설정!$B$5*O98*(1+설정!$B$9*(O98-1))+설정!$B$6*P98*(1+설정!$B$9*(P98-1))+설정!$B$7*Q98*(1+설정!$B$9*(Q98-1))+설정!$B$8*R98*(1+설정!$B$9*(R98-1))</f>
        <v>4041</v>
      </c>
      <c r="Y98" s="7">
        <f>설정!$B$10*(O98*(1+설정!$B$9*(O98-1))+P98*(1+설정!$B$9*(P98-1)))</f>
        <v>36</v>
      </c>
      <c r="Z98" s="7">
        <f t="shared" si="1"/>
        <v>13.3</v>
      </c>
      <c r="AA98" s="7">
        <f>X98*설정!$B$11</f>
        <v>404.1</v>
      </c>
      <c r="AB98" s="3"/>
    </row>
    <row r="99" spans="1:28" ht="15.75">
      <c r="A99" s="3" t="s">
        <v>456</v>
      </c>
      <c r="B99" s="4" t="s">
        <v>457</v>
      </c>
      <c r="C99" s="4" t="s">
        <v>34</v>
      </c>
      <c r="D99" s="4" t="s">
        <v>31</v>
      </c>
      <c r="E99" s="4" t="s">
        <v>458</v>
      </c>
      <c r="F99" s="4" t="s">
        <v>362</v>
      </c>
      <c r="G99" s="4" t="s">
        <v>34</v>
      </c>
      <c r="H99" s="5">
        <v>19.899999999999999</v>
      </c>
      <c r="I99" s="3" t="s">
        <v>459</v>
      </c>
      <c r="J99" s="3" t="s">
        <v>36</v>
      </c>
      <c r="K99" s="3" t="s">
        <v>37</v>
      </c>
      <c r="L99" s="3"/>
      <c r="M99" s="3"/>
      <c r="N99" s="3"/>
      <c r="O99" s="6">
        <v>2</v>
      </c>
      <c r="P99" s="6">
        <v>0</v>
      </c>
      <c r="Q99" s="6">
        <v>1</v>
      </c>
      <c r="R99" s="6">
        <v>1</v>
      </c>
      <c r="S99" s="6">
        <v>0</v>
      </c>
      <c r="T99" s="6">
        <v>0</v>
      </c>
      <c r="U99" s="6">
        <v>0</v>
      </c>
      <c r="V99" s="3"/>
      <c r="W99" s="27" t="s">
        <v>2130</v>
      </c>
      <c r="X99" s="7">
        <f>설정!$B$4*H99+설정!$B$5*O99*(1+설정!$B$9*(O99-1))+설정!$B$6*P99*(1+설정!$B$9*(P99-1))+설정!$B$7*Q99*(1+설정!$B$9*(Q99-1))+설정!$B$8*R99*(1+설정!$B$9*(R99-1))</f>
        <v>2557</v>
      </c>
      <c r="Y99" s="7">
        <f>설정!$B$10*(O99*(1+설정!$B$9*(O99-1))+P99*(1+설정!$B$9*(P99-1)))</f>
        <v>36</v>
      </c>
      <c r="Z99" s="7">
        <f t="shared" si="1"/>
        <v>16.100000000000001</v>
      </c>
      <c r="AA99" s="7">
        <f>X99*설정!$B$11</f>
        <v>255.70000000000002</v>
      </c>
      <c r="AB99" s="3"/>
    </row>
    <row r="100" spans="1:28">
      <c r="A100" s="3" t="s">
        <v>460</v>
      </c>
      <c r="B100" s="4" t="s">
        <v>461</v>
      </c>
      <c r="C100" s="4" t="s">
        <v>34</v>
      </c>
      <c r="D100" s="4" t="s">
        <v>31</v>
      </c>
      <c r="E100" s="4" t="s">
        <v>462</v>
      </c>
      <c r="F100" s="4" t="s">
        <v>362</v>
      </c>
      <c r="G100" s="4" t="s">
        <v>34</v>
      </c>
      <c r="H100" s="5">
        <v>18.8</v>
      </c>
      <c r="I100" s="3" t="s">
        <v>463</v>
      </c>
      <c r="J100" s="3" t="s">
        <v>36</v>
      </c>
      <c r="K100" s="3" t="s">
        <v>37</v>
      </c>
      <c r="L100" s="3"/>
      <c r="M100" s="3"/>
      <c r="N100" s="3"/>
      <c r="O100" s="6">
        <v>0</v>
      </c>
      <c r="P100" s="6">
        <v>0</v>
      </c>
      <c r="Q100" s="6">
        <v>1</v>
      </c>
      <c r="R100" s="6">
        <v>1</v>
      </c>
      <c r="S100" s="6">
        <v>0</v>
      </c>
      <c r="T100" s="6">
        <v>0</v>
      </c>
      <c r="U100" s="6">
        <v>0</v>
      </c>
      <c r="V100" s="3"/>
      <c r="W100" s="3"/>
      <c r="X100" s="7">
        <f>설정!$B$4*H100+설정!$B$5*O100*(1+설정!$B$9*(O100-1))+설정!$B$6*P100*(1+설정!$B$9*(P100-1))+설정!$B$7*Q100*(1+설정!$B$9*(Q100-1))+설정!$B$8*R100*(1+설정!$B$9*(R100-1))</f>
        <v>2164</v>
      </c>
      <c r="Y100" s="7">
        <f>설정!$B$10*(O100*(1+설정!$B$9*(O100-1))+P100*(1+설정!$B$9*(P100-1)))</f>
        <v>0</v>
      </c>
      <c r="Z100" s="7">
        <f t="shared" si="1"/>
        <v>-18.8</v>
      </c>
      <c r="AA100" s="7">
        <f>X100*설정!$B$11</f>
        <v>216.4</v>
      </c>
      <c r="AB100" s="3"/>
    </row>
    <row r="101" spans="1:28">
      <c r="A101" s="3" t="s">
        <v>464</v>
      </c>
      <c r="B101" s="4" t="s">
        <v>465</v>
      </c>
      <c r="C101" s="4" t="s">
        <v>34</v>
      </c>
      <c r="D101" s="4" t="s">
        <v>31</v>
      </c>
      <c r="E101" s="4" t="s">
        <v>466</v>
      </c>
      <c r="F101" s="4" t="s">
        <v>362</v>
      </c>
      <c r="G101" s="4" t="s">
        <v>34</v>
      </c>
      <c r="H101" s="5">
        <v>16.7</v>
      </c>
      <c r="I101" s="3" t="s">
        <v>467</v>
      </c>
      <c r="J101" s="3" t="s">
        <v>36</v>
      </c>
      <c r="K101" s="3" t="s">
        <v>37</v>
      </c>
      <c r="L101" s="3"/>
      <c r="M101" s="3"/>
      <c r="N101" s="3"/>
      <c r="O101" s="6">
        <v>0</v>
      </c>
      <c r="P101" s="6">
        <v>0</v>
      </c>
      <c r="Q101" s="6">
        <v>1</v>
      </c>
      <c r="R101" s="6">
        <v>1</v>
      </c>
      <c r="S101" s="6">
        <v>0</v>
      </c>
      <c r="T101" s="6">
        <v>0</v>
      </c>
      <c r="U101" s="6">
        <v>0</v>
      </c>
      <c r="V101" s="3"/>
      <c r="W101" s="3"/>
      <c r="X101" s="7">
        <f>설정!$B$4*H101+설정!$B$5*O101*(1+설정!$B$9*(O101-1))+설정!$B$6*P101*(1+설정!$B$9*(P101-1))+설정!$B$7*Q101*(1+설정!$B$9*(Q101-1))+설정!$B$8*R101*(1+설정!$B$9*(R101-1))</f>
        <v>2101</v>
      </c>
      <c r="Y101" s="7">
        <f>설정!$B$10*(O101*(1+설정!$B$9*(O101-1))+P101*(1+설정!$B$9*(P101-1)))</f>
        <v>0</v>
      </c>
      <c r="Z101" s="7">
        <f t="shared" si="1"/>
        <v>-16.7</v>
      </c>
      <c r="AA101" s="7">
        <f>X101*설정!$B$11</f>
        <v>210.10000000000002</v>
      </c>
      <c r="AB101" s="3"/>
    </row>
    <row r="102" spans="1:28">
      <c r="A102" s="3" t="s">
        <v>468</v>
      </c>
      <c r="B102" s="4" t="s">
        <v>469</v>
      </c>
      <c r="C102" s="4" t="s">
        <v>34</v>
      </c>
      <c r="D102" s="4" t="s">
        <v>31</v>
      </c>
      <c r="E102" s="4" t="s">
        <v>470</v>
      </c>
      <c r="F102" s="4" t="s">
        <v>362</v>
      </c>
      <c r="G102" s="4" t="s">
        <v>34</v>
      </c>
      <c r="H102" s="5">
        <v>14</v>
      </c>
      <c r="I102" s="3" t="s">
        <v>471</v>
      </c>
      <c r="J102" s="3" t="s">
        <v>36</v>
      </c>
      <c r="K102" s="3" t="s">
        <v>37</v>
      </c>
      <c r="L102" s="3"/>
      <c r="M102" s="3"/>
      <c r="N102" s="3"/>
      <c r="O102" s="6">
        <v>1</v>
      </c>
      <c r="P102" s="6">
        <v>0</v>
      </c>
      <c r="Q102" s="6">
        <v>1</v>
      </c>
      <c r="R102" s="6">
        <v>1</v>
      </c>
      <c r="S102" s="6">
        <v>0</v>
      </c>
      <c r="T102" s="6">
        <v>0</v>
      </c>
      <c r="U102" s="6">
        <v>0</v>
      </c>
      <c r="V102" s="3"/>
      <c r="W102" s="3"/>
      <c r="X102" s="7">
        <f>설정!$B$4*H102+설정!$B$5*O102*(1+설정!$B$9*(O102-1))+설정!$B$6*P102*(1+설정!$B$9*(P102-1))+설정!$B$7*Q102*(1+설정!$B$9*(Q102-1))+설정!$B$8*R102*(1+설정!$B$9*(R102-1))</f>
        <v>2170</v>
      </c>
      <c r="Y102" s="7">
        <f>설정!$B$10*(O102*(1+설정!$B$9*(O102-1))+P102*(1+설정!$B$9*(P102-1)))</f>
        <v>15</v>
      </c>
      <c r="Z102" s="7">
        <f t="shared" si="1"/>
        <v>1</v>
      </c>
      <c r="AA102" s="7">
        <f>X102*설정!$B$11</f>
        <v>217</v>
      </c>
      <c r="AB102" s="3"/>
    </row>
    <row r="103" spans="1:28">
      <c r="A103" s="3" t="s">
        <v>472</v>
      </c>
      <c r="B103" s="4" t="s">
        <v>473</v>
      </c>
      <c r="C103" s="4" t="s">
        <v>34</v>
      </c>
      <c r="D103" s="4" t="s">
        <v>31</v>
      </c>
      <c r="E103" s="4" t="s">
        <v>474</v>
      </c>
      <c r="F103" s="4" t="s">
        <v>177</v>
      </c>
      <c r="G103" s="4" t="s">
        <v>34</v>
      </c>
      <c r="H103" s="5">
        <v>12.7</v>
      </c>
      <c r="I103" s="3" t="s">
        <v>475</v>
      </c>
      <c r="J103" s="3" t="s">
        <v>36</v>
      </c>
      <c r="K103" s="3" t="s">
        <v>37</v>
      </c>
      <c r="L103" s="3"/>
      <c r="M103" s="3"/>
      <c r="N103" s="3"/>
      <c r="O103" s="6">
        <v>1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3"/>
      <c r="W103" s="3"/>
      <c r="X103" s="7">
        <f>설정!$B$4*H103+설정!$B$5*O103*(1+설정!$B$9*(O103-1))+설정!$B$6*P103*(1+설정!$B$9*(P103-1))+설정!$B$7*Q103*(1+설정!$B$9*(Q103-1))+설정!$B$8*R103*(1+설정!$B$9*(R103-1))</f>
        <v>531</v>
      </c>
      <c r="Y103" s="7">
        <f>설정!$B$10*(O103*(1+설정!$B$9*(O103-1))+P103*(1+설정!$B$9*(P103-1)))</f>
        <v>15</v>
      </c>
      <c r="Z103" s="7">
        <f t="shared" si="1"/>
        <v>2.3000000000000007</v>
      </c>
      <c r="AA103" s="7">
        <f>X103*설정!$B$11</f>
        <v>53.1</v>
      </c>
      <c r="AB103" s="3"/>
    </row>
    <row r="104" spans="1:28">
      <c r="A104" s="3" t="s">
        <v>476</v>
      </c>
      <c r="B104" s="4" t="s">
        <v>477</v>
      </c>
      <c r="C104" s="4" t="s">
        <v>34</v>
      </c>
      <c r="D104" s="4" t="s">
        <v>31</v>
      </c>
      <c r="E104" s="4" t="s">
        <v>478</v>
      </c>
      <c r="F104" s="4" t="s">
        <v>362</v>
      </c>
      <c r="G104" s="4" t="s">
        <v>34</v>
      </c>
      <c r="H104" s="5">
        <v>11.3</v>
      </c>
      <c r="I104" s="3" t="s">
        <v>479</v>
      </c>
      <c r="J104" s="3" t="s">
        <v>36</v>
      </c>
      <c r="K104" s="3" t="s">
        <v>37</v>
      </c>
      <c r="L104" s="3"/>
      <c r="M104" s="3"/>
      <c r="N104" s="3"/>
      <c r="O104" s="6">
        <v>2</v>
      </c>
      <c r="P104" s="6">
        <v>0</v>
      </c>
      <c r="Q104" s="6">
        <v>1</v>
      </c>
      <c r="R104" s="6">
        <v>1</v>
      </c>
      <c r="S104" s="6">
        <v>0</v>
      </c>
      <c r="T104" s="6">
        <v>0</v>
      </c>
      <c r="U104" s="6">
        <v>0</v>
      </c>
      <c r="V104" s="3"/>
      <c r="W104" s="4" t="s">
        <v>480</v>
      </c>
      <c r="X104" s="7">
        <f>설정!$B$4*H104+설정!$B$5*O104*(1+설정!$B$9*(O104-1))+설정!$B$6*P104*(1+설정!$B$9*(P104-1))+설정!$B$7*Q104*(1+설정!$B$9*(Q104-1))+설정!$B$8*R104*(1+설정!$B$9*(R104-1))</f>
        <v>2299</v>
      </c>
      <c r="Y104" s="7">
        <f>설정!$B$10*(O104*(1+설정!$B$9*(O104-1))+P104*(1+설정!$B$9*(P104-1)))</f>
        <v>36</v>
      </c>
      <c r="Z104" s="7">
        <f t="shared" si="1"/>
        <v>24.7</v>
      </c>
      <c r="AA104" s="7">
        <f>X104*설정!$B$11</f>
        <v>229.9</v>
      </c>
      <c r="AB104" s="3"/>
    </row>
    <row r="105" spans="1:28">
      <c r="A105" s="3" t="s">
        <v>481</v>
      </c>
      <c r="B105" s="4" t="s">
        <v>482</v>
      </c>
      <c r="C105" s="4" t="s">
        <v>34</v>
      </c>
      <c r="D105" s="4" t="s">
        <v>31</v>
      </c>
      <c r="E105" s="4" t="s">
        <v>483</v>
      </c>
      <c r="F105" s="4" t="s">
        <v>362</v>
      </c>
      <c r="G105" s="4" t="s">
        <v>34</v>
      </c>
      <c r="H105" s="5">
        <v>8.6</v>
      </c>
      <c r="I105" s="3" t="s">
        <v>484</v>
      </c>
      <c r="J105" s="3" t="s">
        <v>36</v>
      </c>
      <c r="K105" s="3" t="s">
        <v>37</v>
      </c>
      <c r="L105" s="3"/>
      <c r="M105" s="3"/>
      <c r="N105" s="3"/>
      <c r="O105" s="6">
        <v>0</v>
      </c>
      <c r="P105" s="6">
        <v>0</v>
      </c>
      <c r="Q105" s="6">
        <v>1</v>
      </c>
      <c r="R105" s="6">
        <v>1</v>
      </c>
      <c r="S105" s="6">
        <v>0</v>
      </c>
      <c r="T105" s="6">
        <v>0</v>
      </c>
      <c r="U105" s="6">
        <v>0</v>
      </c>
      <c r="V105" s="3"/>
      <c r="W105" s="3"/>
      <c r="X105" s="7">
        <f>설정!$B$4*H105+설정!$B$5*O105*(1+설정!$B$9*(O105-1))+설정!$B$6*P105*(1+설정!$B$9*(P105-1))+설정!$B$7*Q105*(1+설정!$B$9*(Q105-1))+설정!$B$8*R105*(1+설정!$B$9*(R105-1))</f>
        <v>1858</v>
      </c>
      <c r="Y105" s="7">
        <f>설정!$B$10*(O105*(1+설정!$B$9*(O105-1))+P105*(1+설정!$B$9*(P105-1)))</f>
        <v>0</v>
      </c>
      <c r="Z105" s="7">
        <f t="shared" si="1"/>
        <v>-8.6</v>
      </c>
      <c r="AA105" s="7">
        <f>X105*설정!$B$11</f>
        <v>185.8</v>
      </c>
      <c r="AB105" s="3"/>
    </row>
    <row r="106" spans="1:28">
      <c r="A106" s="3" t="s">
        <v>485</v>
      </c>
      <c r="B106" s="4" t="s">
        <v>486</v>
      </c>
      <c r="C106" s="4" t="s">
        <v>34</v>
      </c>
      <c r="D106" s="4" t="s">
        <v>31</v>
      </c>
      <c r="E106" s="4" t="s">
        <v>487</v>
      </c>
      <c r="F106" s="4" t="s">
        <v>362</v>
      </c>
      <c r="G106" s="4" t="s">
        <v>34</v>
      </c>
      <c r="H106" s="5">
        <v>8.1</v>
      </c>
      <c r="I106" s="3" t="s">
        <v>488</v>
      </c>
      <c r="J106" s="3" t="s">
        <v>36</v>
      </c>
      <c r="K106" s="3" t="s">
        <v>37</v>
      </c>
      <c r="L106" s="3"/>
      <c r="M106" s="3"/>
      <c r="N106" s="3"/>
      <c r="O106" s="6">
        <v>0</v>
      </c>
      <c r="P106" s="6">
        <v>0</v>
      </c>
      <c r="Q106" s="6">
        <v>1</v>
      </c>
      <c r="R106" s="6">
        <v>1</v>
      </c>
      <c r="S106" s="6">
        <v>0</v>
      </c>
      <c r="T106" s="6">
        <v>0</v>
      </c>
      <c r="U106" s="6">
        <v>0</v>
      </c>
      <c r="V106" s="3"/>
      <c r="W106" s="3"/>
      <c r="X106" s="7">
        <f>설정!$B$4*H106+설정!$B$5*O106*(1+설정!$B$9*(O106-1))+설정!$B$6*P106*(1+설정!$B$9*(P106-1))+설정!$B$7*Q106*(1+설정!$B$9*(Q106-1))+설정!$B$8*R106*(1+설정!$B$9*(R106-1))</f>
        <v>1843</v>
      </c>
      <c r="Y106" s="7">
        <f>설정!$B$10*(O106*(1+설정!$B$9*(O106-1))+P106*(1+설정!$B$9*(P106-1)))</f>
        <v>0</v>
      </c>
      <c r="Z106" s="7">
        <f t="shared" si="1"/>
        <v>-8.1</v>
      </c>
      <c r="AA106" s="7">
        <f>X106*설정!$B$11</f>
        <v>184.3</v>
      </c>
      <c r="AB106" s="3"/>
    </row>
    <row r="107" spans="1:28">
      <c r="A107" s="3" t="s">
        <v>489</v>
      </c>
      <c r="B107" s="4" t="s">
        <v>490</v>
      </c>
      <c r="C107" s="4" t="s">
        <v>34</v>
      </c>
      <c r="D107" s="4" t="s">
        <v>31</v>
      </c>
      <c r="E107" s="4" t="s">
        <v>491</v>
      </c>
      <c r="F107" s="4" t="s">
        <v>177</v>
      </c>
      <c r="G107" s="4" t="s">
        <v>34</v>
      </c>
      <c r="H107" s="5">
        <v>6.2</v>
      </c>
      <c r="I107" s="3" t="s">
        <v>492</v>
      </c>
      <c r="J107" s="3" t="s">
        <v>36</v>
      </c>
      <c r="K107" s="3" t="s">
        <v>37</v>
      </c>
      <c r="L107" s="3"/>
      <c r="M107" s="3"/>
      <c r="N107" s="3"/>
      <c r="O107" s="6">
        <v>1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3"/>
      <c r="W107" s="4" t="s">
        <v>493</v>
      </c>
      <c r="X107" s="7">
        <f>설정!$B$4*H107+설정!$B$5*O107*(1+설정!$B$9*(O107-1))+설정!$B$6*P107*(1+설정!$B$9*(P107-1))+설정!$B$7*Q107*(1+설정!$B$9*(Q107-1))+설정!$B$8*R107*(1+설정!$B$9*(R107-1))</f>
        <v>336</v>
      </c>
      <c r="Y107" s="7">
        <f>설정!$B$10*(O107*(1+설정!$B$9*(O107-1))+P107*(1+설정!$B$9*(P107-1)))</f>
        <v>15</v>
      </c>
      <c r="Z107" s="7">
        <f t="shared" si="1"/>
        <v>8.8000000000000007</v>
      </c>
      <c r="AA107" s="7">
        <f>X107*설정!$B$11</f>
        <v>33.6</v>
      </c>
      <c r="AB107" s="3"/>
    </row>
    <row r="108" spans="1:28">
      <c r="A108" s="3" t="s">
        <v>494</v>
      </c>
      <c r="B108" s="4" t="s">
        <v>495</v>
      </c>
      <c r="C108" s="4" t="s">
        <v>34</v>
      </c>
      <c r="D108" s="4" t="s">
        <v>31</v>
      </c>
      <c r="E108" s="4" t="s">
        <v>496</v>
      </c>
      <c r="F108" s="4" t="s">
        <v>177</v>
      </c>
      <c r="G108" s="4" t="s">
        <v>34</v>
      </c>
      <c r="H108" s="5">
        <v>4.3</v>
      </c>
      <c r="I108" s="3" t="s">
        <v>497</v>
      </c>
      <c r="J108" s="3" t="s">
        <v>36</v>
      </c>
      <c r="K108" s="3" t="s">
        <v>37</v>
      </c>
      <c r="L108" s="3"/>
      <c r="M108" s="3"/>
      <c r="N108" s="3"/>
      <c r="O108" s="6">
        <v>1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3"/>
      <c r="W108" s="4" t="s">
        <v>498</v>
      </c>
      <c r="X108" s="7">
        <f>설정!$B$4*H108+설정!$B$5*O108*(1+설정!$B$9*(O108-1))+설정!$B$6*P108*(1+설정!$B$9*(P108-1))+설정!$B$7*Q108*(1+설정!$B$9*(Q108-1))+설정!$B$8*R108*(1+설정!$B$9*(R108-1))</f>
        <v>279</v>
      </c>
      <c r="Y108" s="7">
        <f>설정!$B$10*(O108*(1+설정!$B$9*(O108-1))+P108*(1+설정!$B$9*(P108-1)))</f>
        <v>15</v>
      </c>
      <c r="Z108" s="7">
        <f t="shared" si="1"/>
        <v>10.7</v>
      </c>
      <c r="AA108" s="7">
        <f>X108*설정!$B$11</f>
        <v>27.900000000000002</v>
      </c>
      <c r="AB108" s="3"/>
    </row>
    <row r="109" spans="1:28">
      <c r="A109" s="3" t="s">
        <v>499</v>
      </c>
      <c r="B109" s="4" t="s">
        <v>500</v>
      </c>
      <c r="C109" s="4" t="s">
        <v>501</v>
      </c>
      <c r="D109" s="4" t="s">
        <v>31</v>
      </c>
      <c r="E109" s="4" t="s">
        <v>502</v>
      </c>
      <c r="F109" s="4" t="s">
        <v>362</v>
      </c>
      <c r="G109" s="4" t="s">
        <v>501</v>
      </c>
      <c r="H109" s="5">
        <v>36.5</v>
      </c>
      <c r="I109" s="3" t="s">
        <v>503</v>
      </c>
      <c r="J109" s="3" t="s">
        <v>36</v>
      </c>
      <c r="K109" s="3" t="s">
        <v>37</v>
      </c>
      <c r="L109" s="3"/>
      <c r="M109" s="3"/>
      <c r="N109" s="3"/>
      <c r="O109" s="6">
        <v>1</v>
      </c>
      <c r="P109" s="6">
        <v>0</v>
      </c>
      <c r="Q109" s="6">
        <v>1</v>
      </c>
      <c r="R109" s="6">
        <v>1</v>
      </c>
      <c r="S109" s="6">
        <v>0</v>
      </c>
      <c r="T109" s="6">
        <v>0</v>
      </c>
      <c r="U109" s="6">
        <v>0</v>
      </c>
      <c r="V109" s="3"/>
      <c r="W109" s="4" t="s">
        <v>504</v>
      </c>
      <c r="X109" s="7">
        <f>설정!$B$4*H109+설정!$B$5*O109*(1+설정!$B$9*(O109-1))+설정!$B$6*P109*(1+설정!$B$9*(P109-1))+설정!$B$7*Q109*(1+설정!$B$9*(Q109-1))+설정!$B$8*R109*(1+설정!$B$9*(R109-1))</f>
        <v>2845</v>
      </c>
      <c r="Y109" s="7">
        <f>설정!$B$10*(O109*(1+설정!$B$9*(O109-1))+P109*(1+설정!$B$9*(P109-1)))</f>
        <v>15</v>
      </c>
      <c r="Z109" s="7">
        <f t="shared" si="1"/>
        <v>-21.5</v>
      </c>
      <c r="AA109" s="7">
        <f>X109*설정!$B$11</f>
        <v>284.5</v>
      </c>
      <c r="AB109" s="3"/>
    </row>
    <row r="110" spans="1:28">
      <c r="A110" s="3" t="s">
        <v>505</v>
      </c>
      <c r="B110" s="4" t="s">
        <v>506</v>
      </c>
      <c r="C110" s="4" t="s">
        <v>501</v>
      </c>
      <c r="D110" s="4" t="s">
        <v>31</v>
      </c>
      <c r="E110" s="4" t="s">
        <v>507</v>
      </c>
      <c r="F110" s="4" t="s">
        <v>362</v>
      </c>
      <c r="G110" s="4" t="s">
        <v>501</v>
      </c>
      <c r="H110" s="5">
        <v>28.5</v>
      </c>
      <c r="I110" s="3" t="s">
        <v>508</v>
      </c>
      <c r="J110" s="3" t="s">
        <v>36</v>
      </c>
      <c r="K110" s="3" t="s">
        <v>37</v>
      </c>
      <c r="L110" s="3"/>
      <c r="M110" s="3"/>
      <c r="N110" s="3"/>
      <c r="O110" s="6">
        <v>1</v>
      </c>
      <c r="P110" s="6">
        <v>0</v>
      </c>
      <c r="Q110" s="6">
        <v>1</v>
      </c>
      <c r="R110" s="6">
        <v>1</v>
      </c>
      <c r="S110" s="6">
        <v>0</v>
      </c>
      <c r="T110" s="6">
        <v>0</v>
      </c>
      <c r="U110" s="6">
        <v>0</v>
      </c>
      <c r="V110" s="3"/>
      <c r="W110" s="3"/>
      <c r="X110" s="7">
        <f>설정!$B$4*H110+설정!$B$5*O110*(1+설정!$B$9*(O110-1))+설정!$B$6*P110*(1+설정!$B$9*(P110-1))+설정!$B$7*Q110*(1+설정!$B$9*(Q110-1))+설정!$B$8*R110*(1+설정!$B$9*(R110-1))</f>
        <v>2605</v>
      </c>
      <c r="Y110" s="7">
        <f>설정!$B$10*(O110*(1+설정!$B$9*(O110-1))+P110*(1+설정!$B$9*(P110-1)))</f>
        <v>15</v>
      </c>
      <c r="Z110" s="7">
        <f t="shared" si="1"/>
        <v>-13.5</v>
      </c>
      <c r="AA110" s="7">
        <f>X110*설정!$B$11</f>
        <v>260.5</v>
      </c>
      <c r="AB110" s="3"/>
    </row>
    <row r="111" spans="1:28">
      <c r="A111" s="3" t="s">
        <v>509</v>
      </c>
      <c r="B111" s="4" t="s">
        <v>510</v>
      </c>
      <c r="C111" s="4" t="s">
        <v>501</v>
      </c>
      <c r="D111" s="4" t="s">
        <v>31</v>
      </c>
      <c r="E111" s="4" t="s">
        <v>511</v>
      </c>
      <c r="F111" s="4" t="s">
        <v>362</v>
      </c>
      <c r="G111" s="4" t="s">
        <v>501</v>
      </c>
      <c r="H111" s="5">
        <v>20.5</v>
      </c>
      <c r="I111" s="3" t="s">
        <v>512</v>
      </c>
      <c r="J111" s="3" t="s">
        <v>36</v>
      </c>
      <c r="K111" s="3" t="s">
        <v>140</v>
      </c>
      <c r="L111" s="4" t="s">
        <v>338</v>
      </c>
      <c r="M111" s="3"/>
      <c r="N111" s="3"/>
      <c r="O111" s="6">
        <v>1</v>
      </c>
      <c r="P111" s="6">
        <v>1</v>
      </c>
      <c r="Q111" s="6">
        <v>1</v>
      </c>
      <c r="R111" s="6">
        <v>1</v>
      </c>
      <c r="S111" s="6">
        <v>0</v>
      </c>
      <c r="T111" s="6">
        <v>0</v>
      </c>
      <c r="U111" s="6">
        <v>0</v>
      </c>
      <c r="V111" s="4" t="s">
        <v>513</v>
      </c>
      <c r="W111" s="4" t="s">
        <v>514</v>
      </c>
      <c r="X111" s="7">
        <f>설정!$B$4*H111+설정!$B$5*O111*(1+설정!$B$9*(O111-1))+설정!$B$6*P111*(1+설정!$B$9*(P111-1))+설정!$B$7*Q111*(1+설정!$B$9*(Q111-1))+설정!$B$8*R111*(1+설정!$B$9*(R111-1))</f>
        <v>2515</v>
      </c>
      <c r="Y111" s="7">
        <f>설정!$B$10*(O111*(1+설정!$B$9*(O111-1))+P111*(1+설정!$B$9*(P111-1)))</f>
        <v>30</v>
      </c>
      <c r="Z111" s="7">
        <f t="shared" si="1"/>
        <v>9.5</v>
      </c>
      <c r="AA111" s="7">
        <f>X111*설정!$B$11</f>
        <v>251.5</v>
      </c>
      <c r="AB111" s="3"/>
    </row>
    <row r="112" spans="1:28">
      <c r="A112" s="8" t="s">
        <v>515</v>
      </c>
      <c r="B112" s="9" t="s">
        <v>516</v>
      </c>
      <c r="C112" s="9" t="s">
        <v>501</v>
      </c>
      <c r="D112" s="9" t="s">
        <v>517</v>
      </c>
      <c r="E112" s="9" t="s">
        <v>518</v>
      </c>
      <c r="F112" s="4" t="s">
        <v>177</v>
      </c>
      <c r="G112" s="4" t="s">
        <v>501</v>
      </c>
      <c r="H112" s="5">
        <v>13.3</v>
      </c>
      <c r="I112" s="4" t="s">
        <v>519</v>
      </c>
      <c r="J112" s="4" t="s">
        <v>520</v>
      </c>
      <c r="K112" s="3" t="s">
        <v>37</v>
      </c>
      <c r="L112" s="3"/>
      <c r="M112" s="3"/>
      <c r="N112" s="3"/>
      <c r="O112" s="6">
        <v>2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3"/>
      <c r="W112" s="4" t="s">
        <v>521</v>
      </c>
      <c r="X112" s="7">
        <f>설정!$B$4*H112+설정!$B$5*O112*(1+설정!$B$9*(O112-1))+설정!$B$6*P112*(1+설정!$B$9*(P112-1))+설정!$B$7*Q112*(1+설정!$B$9*(Q112-1))+설정!$B$8*R112*(1+설정!$B$9*(R112-1))</f>
        <v>759</v>
      </c>
      <c r="Y112" s="7">
        <f>설정!$B$10*(O112*(1+설정!$B$9*(O112-1))+P112*(1+설정!$B$9*(P112-1)))</f>
        <v>36</v>
      </c>
      <c r="Z112" s="7">
        <f t="shared" si="1"/>
        <v>22.7</v>
      </c>
      <c r="AA112" s="7">
        <f>X112*설정!$B$11</f>
        <v>75.900000000000006</v>
      </c>
      <c r="AB112" s="3"/>
    </row>
    <row r="113" spans="1:28">
      <c r="A113" s="8" t="s">
        <v>522</v>
      </c>
      <c r="B113" s="9" t="s">
        <v>523</v>
      </c>
      <c r="C113" s="9" t="s">
        <v>501</v>
      </c>
      <c r="D113" s="9" t="s">
        <v>517</v>
      </c>
      <c r="E113" s="9" t="s">
        <v>524</v>
      </c>
      <c r="F113" s="4" t="s">
        <v>177</v>
      </c>
      <c r="G113" s="4" t="s">
        <v>501</v>
      </c>
      <c r="H113" s="5">
        <v>11.9</v>
      </c>
      <c r="I113" s="4" t="s">
        <v>525</v>
      </c>
      <c r="J113" s="4" t="s">
        <v>520</v>
      </c>
      <c r="K113" s="3" t="s">
        <v>140</v>
      </c>
      <c r="L113" s="4" t="s">
        <v>526</v>
      </c>
      <c r="M113" s="3"/>
      <c r="N113" s="3"/>
      <c r="O113" s="6">
        <v>1</v>
      </c>
      <c r="P113" s="6">
        <v>2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3"/>
      <c r="W113" s="4" t="s">
        <v>527</v>
      </c>
      <c r="X113" s="7">
        <f>설정!$B$4*H113+설정!$B$5*O113*(1+설정!$B$9*(O113-1))+설정!$B$6*P113*(1+설정!$B$9*(P113-1))+설정!$B$7*Q113*(1+설정!$B$9*(Q113-1))+설정!$B$8*R113*(1+설정!$B$9*(R113-1))</f>
        <v>867</v>
      </c>
      <c r="Y113" s="7">
        <f>설정!$B$10*(O113*(1+설정!$B$9*(O113-1))+P113*(1+설정!$B$9*(P113-1)))</f>
        <v>51</v>
      </c>
      <c r="Z113" s="7">
        <f t="shared" si="1"/>
        <v>39.1</v>
      </c>
      <c r="AA113" s="7">
        <f>X113*설정!$B$11</f>
        <v>86.7</v>
      </c>
      <c r="AB113" s="3"/>
    </row>
    <row r="114" spans="1:28">
      <c r="A114" s="3" t="s">
        <v>528</v>
      </c>
      <c r="B114" s="4" t="s">
        <v>529</v>
      </c>
      <c r="C114" s="4" t="s">
        <v>501</v>
      </c>
      <c r="D114" s="4" t="s">
        <v>31</v>
      </c>
      <c r="E114" s="4" t="s">
        <v>530</v>
      </c>
      <c r="F114" s="4" t="s">
        <v>362</v>
      </c>
      <c r="G114" s="4" t="s">
        <v>501</v>
      </c>
      <c r="H114" s="5">
        <v>8.6</v>
      </c>
      <c r="I114" s="3" t="s">
        <v>531</v>
      </c>
      <c r="J114" s="3" t="s">
        <v>36</v>
      </c>
      <c r="K114" s="3" t="s">
        <v>140</v>
      </c>
      <c r="L114" s="4" t="s">
        <v>338</v>
      </c>
      <c r="M114" s="3"/>
      <c r="N114" s="3"/>
      <c r="O114" s="6">
        <v>0</v>
      </c>
      <c r="P114" s="6">
        <v>1</v>
      </c>
      <c r="Q114" s="6">
        <v>1</v>
      </c>
      <c r="R114" s="6">
        <v>1</v>
      </c>
      <c r="S114" s="6">
        <v>0</v>
      </c>
      <c r="T114" s="6">
        <v>0</v>
      </c>
      <c r="U114" s="6">
        <v>0</v>
      </c>
      <c r="V114" s="3"/>
      <c r="W114" s="4" t="s">
        <v>532</v>
      </c>
      <c r="X114" s="7">
        <f>설정!$B$4*H114+설정!$B$5*O114*(1+설정!$B$9*(O114-1))+설정!$B$6*P114*(1+설정!$B$9*(P114-1))+설정!$B$7*Q114*(1+설정!$B$9*(Q114-1))+설정!$B$8*R114*(1+설정!$B$9*(R114-1))</f>
        <v>2008</v>
      </c>
      <c r="Y114" s="7">
        <f>설정!$B$10*(O114*(1+설정!$B$9*(O114-1))+P114*(1+설정!$B$9*(P114-1)))</f>
        <v>15</v>
      </c>
      <c r="Z114" s="7">
        <f t="shared" si="1"/>
        <v>6.4</v>
      </c>
      <c r="AA114" s="7">
        <f>X114*설정!$B$11</f>
        <v>200.8</v>
      </c>
      <c r="AB114" s="3"/>
    </row>
    <row r="115" spans="1:28">
      <c r="A115" s="3" t="s">
        <v>533</v>
      </c>
      <c r="B115" s="4" t="s">
        <v>534</v>
      </c>
      <c r="C115" s="4" t="s">
        <v>501</v>
      </c>
      <c r="D115" s="4" t="s">
        <v>31</v>
      </c>
      <c r="E115" s="4" t="s">
        <v>535</v>
      </c>
      <c r="F115" s="4" t="s">
        <v>362</v>
      </c>
      <c r="G115" s="4" t="s">
        <v>501</v>
      </c>
      <c r="H115" s="5">
        <v>7.9</v>
      </c>
      <c r="I115" s="3" t="s">
        <v>536</v>
      </c>
      <c r="J115" s="3" t="s">
        <v>36</v>
      </c>
      <c r="K115" s="3" t="s">
        <v>140</v>
      </c>
      <c r="L115" s="4" t="s">
        <v>338</v>
      </c>
      <c r="M115" s="3"/>
      <c r="N115" s="3"/>
      <c r="O115" s="6">
        <v>0</v>
      </c>
      <c r="P115" s="6">
        <v>2</v>
      </c>
      <c r="Q115" s="6">
        <v>0</v>
      </c>
      <c r="R115" s="6">
        <v>1</v>
      </c>
      <c r="S115" s="6">
        <v>0</v>
      </c>
      <c r="T115" s="6">
        <v>0</v>
      </c>
      <c r="U115" s="6">
        <v>0</v>
      </c>
      <c r="V115" s="3"/>
      <c r="W115" s="4" t="s">
        <v>537</v>
      </c>
      <c r="X115" s="7">
        <f>설정!$B$4*H115+설정!$B$5*O115*(1+설정!$B$9*(O115-1))+설정!$B$6*P115*(1+설정!$B$9*(P115-1))+설정!$B$7*Q115*(1+설정!$B$9*(Q115-1))+설정!$B$8*R115*(1+설정!$B$9*(R115-1))</f>
        <v>1197</v>
      </c>
      <c r="Y115" s="7">
        <f>설정!$B$10*(O115*(1+설정!$B$9*(O115-1))+P115*(1+설정!$B$9*(P115-1)))</f>
        <v>36</v>
      </c>
      <c r="Z115" s="7">
        <f t="shared" si="1"/>
        <v>28.1</v>
      </c>
      <c r="AA115" s="7">
        <f>X115*설정!$B$11</f>
        <v>119.7</v>
      </c>
      <c r="AB115" s="3"/>
    </row>
    <row r="116" spans="1:28">
      <c r="A116" s="3" t="s">
        <v>538</v>
      </c>
      <c r="B116" s="4" t="s">
        <v>539</v>
      </c>
      <c r="C116" s="4" t="s">
        <v>501</v>
      </c>
      <c r="D116" s="4" t="s">
        <v>31</v>
      </c>
      <c r="E116" s="4" t="s">
        <v>540</v>
      </c>
      <c r="F116" s="4" t="s">
        <v>177</v>
      </c>
      <c r="G116" s="4" t="s">
        <v>501</v>
      </c>
      <c r="H116" s="5">
        <v>6.6</v>
      </c>
      <c r="I116" s="3" t="s">
        <v>541</v>
      </c>
      <c r="J116" s="3" t="s">
        <v>36</v>
      </c>
      <c r="K116" s="3" t="s">
        <v>37</v>
      </c>
      <c r="L116" s="3"/>
      <c r="M116" s="3"/>
      <c r="N116" s="3"/>
      <c r="O116" s="6">
        <v>2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3"/>
      <c r="W116" s="4" t="s">
        <v>542</v>
      </c>
      <c r="X116" s="7">
        <f>설정!$B$4*H116+설정!$B$5*O116*(1+설정!$B$9*(O116-1))+설정!$B$6*P116*(1+설정!$B$9*(P116-1))+설정!$B$7*Q116*(1+설정!$B$9*(Q116-1))+설정!$B$8*R116*(1+설정!$B$9*(R116-1))</f>
        <v>558</v>
      </c>
      <c r="Y116" s="7">
        <f>설정!$B$10*(O116*(1+설정!$B$9*(O116-1))+P116*(1+설정!$B$9*(P116-1)))</f>
        <v>36</v>
      </c>
      <c r="Z116" s="7">
        <f t="shared" si="1"/>
        <v>29.4</v>
      </c>
      <c r="AA116" s="7">
        <f>X116*설정!$B$11</f>
        <v>55.800000000000004</v>
      </c>
      <c r="AB116" s="3"/>
    </row>
    <row r="117" spans="1:28">
      <c r="A117" s="3" t="s">
        <v>543</v>
      </c>
      <c r="B117" s="4" t="s">
        <v>544</v>
      </c>
      <c r="C117" s="4" t="s">
        <v>501</v>
      </c>
      <c r="D117" s="4" t="s">
        <v>31</v>
      </c>
      <c r="E117" s="4" t="s">
        <v>545</v>
      </c>
      <c r="F117" s="4" t="s">
        <v>362</v>
      </c>
      <c r="G117" s="4" t="s">
        <v>501</v>
      </c>
      <c r="H117" s="5">
        <v>6</v>
      </c>
      <c r="I117" s="3" t="s">
        <v>546</v>
      </c>
      <c r="J117" s="3" t="s">
        <v>36</v>
      </c>
      <c r="K117" s="3" t="s">
        <v>140</v>
      </c>
      <c r="L117" s="4" t="s">
        <v>338</v>
      </c>
      <c r="M117" s="3"/>
      <c r="N117" s="3"/>
      <c r="O117" s="6">
        <v>1</v>
      </c>
      <c r="P117" s="6">
        <v>1</v>
      </c>
      <c r="Q117" s="6">
        <v>1</v>
      </c>
      <c r="R117" s="6">
        <v>1</v>
      </c>
      <c r="S117" s="6">
        <v>0</v>
      </c>
      <c r="T117" s="6">
        <v>2</v>
      </c>
      <c r="U117" s="6">
        <v>0</v>
      </c>
      <c r="V117" s="4" t="s">
        <v>547</v>
      </c>
      <c r="W117" s="4" t="s">
        <v>548</v>
      </c>
      <c r="X117" s="7">
        <f>설정!$B$4*H117+설정!$B$5*O117*(1+설정!$B$9*(O117-1))+설정!$B$6*P117*(1+설정!$B$9*(P117-1))+설정!$B$7*Q117*(1+설정!$B$9*(Q117-1))+설정!$B$8*R117*(1+설정!$B$9*(R117-1))</f>
        <v>2080</v>
      </c>
      <c r="Y117" s="7">
        <f>설정!$B$10*(O117*(1+설정!$B$9*(O117-1))+P117*(1+설정!$B$9*(P117-1)))</f>
        <v>30</v>
      </c>
      <c r="Z117" s="7">
        <f t="shared" si="1"/>
        <v>24</v>
      </c>
      <c r="AA117" s="7">
        <f>X117*설정!$B$11</f>
        <v>208</v>
      </c>
      <c r="AB117" s="3"/>
    </row>
    <row r="118" spans="1:28">
      <c r="A118" s="3" t="s">
        <v>549</v>
      </c>
      <c r="B118" s="4" t="s">
        <v>550</v>
      </c>
      <c r="C118" s="4" t="s">
        <v>501</v>
      </c>
      <c r="D118" s="4" t="s">
        <v>31</v>
      </c>
      <c r="E118" s="4" t="s">
        <v>551</v>
      </c>
      <c r="F118" s="4" t="s">
        <v>177</v>
      </c>
      <c r="G118" s="4" t="s">
        <v>501</v>
      </c>
      <c r="H118" s="5">
        <v>4.5</v>
      </c>
      <c r="I118" s="3" t="s">
        <v>552</v>
      </c>
      <c r="J118" s="3" t="s">
        <v>36</v>
      </c>
      <c r="K118" s="3" t="s">
        <v>37</v>
      </c>
      <c r="L118" s="3"/>
      <c r="M118" s="3"/>
      <c r="N118" s="3"/>
      <c r="O118" s="6">
        <v>1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3"/>
      <c r="W118" s="4" t="s">
        <v>553</v>
      </c>
      <c r="X118" s="7">
        <f>설정!$B$4*H118+설정!$B$5*O118*(1+설정!$B$9*(O118-1))+설정!$B$6*P118*(1+설정!$B$9*(P118-1))+설정!$B$7*Q118*(1+설정!$B$9*(Q118-1))+설정!$B$8*R118*(1+설정!$B$9*(R118-1))</f>
        <v>285</v>
      </c>
      <c r="Y118" s="7">
        <f>설정!$B$10*(O118*(1+설정!$B$9*(O118-1))+P118*(1+설정!$B$9*(P118-1)))</f>
        <v>15</v>
      </c>
      <c r="Z118" s="7">
        <f t="shared" si="1"/>
        <v>10.5</v>
      </c>
      <c r="AA118" s="7">
        <f>X118*설정!$B$11</f>
        <v>28.5</v>
      </c>
      <c r="AB118" s="3"/>
    </row>
    <row r="119" spans="1:28">
      <c r="A119" s="3" t="s">
        <v>554</v>
      </c>
      <c r="B119" s="4" t="s">
        <v>555</v>
      </c>
      <c r="C119" s="4" t="s">
        <v>501</v>
      </c>
      <c r="D119" s="4" t="s">
        <v>31</v>
      </c>
      <c r="E119" s="4" t="s">
        <v>556</v>
      </c>
      <c r="F119" s="4" t="s">
        <v>177</v>
      </c>
      <c r="G119" s="4" t="s">
        <v>501</v>
      </c>
      <c r="H119" s="5">
        <v>4</v>
      </c>
      <c r="I119" s="3" t="s">
        <v>557</v>
      </c>
      <c r="J119" s="3" t="s">
        <v>36</v>
      </c>
      <c r="K119" s="3" t="s">
        <v>37</v>
      </c>
      <c r="L119" s="3"/>
      <c r="M119" s="3"/>
      <c r="N119" s="3"/>
      <c r="O119" s="6">
        <v>1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3"/>
      <c r="W119" s="4" t="s">
        <v>558</v>
      </c>
      <c r="X119" s="7">
        <f>설정!$B$4*H119+설정!$B$5*O119*(1+설정!$B$9*(O119-1))+설정!$B$6*P119*(1+설정!$B$9*(P119-1))+설정!$B$7*Q119*(1+설정!$B$9*(Q119-1))+설정!$B$8*R119*(1+설정!$B$9*(R119-1))</f>
        <v>270</v>
      </c>
      <c r="Y119" s="7">
        <f>설정!$B$10*(O119*(1+설정!$B$9*(O119-1))+P119*(1+설정!$B$9*(P119-1)))</f>
        <v>15</v>
      </c>
      <c r="Z119" s="7">
        <f t="shared" si="1"/>
        <v>11</v>
      </c>
      <c r="AA119" s="7">
        <f>X119*설정!$B$11</f>
        <v>27</v>
      </c>
      <c r="AB119" s="3"/>
    </row>
    <row r="120" spans="1:28">
      <c r="A120" s="3" t="s">
        <v>559</v>
      </c>
      <c r="B120" s="4" t="s">
        <v>560</v>
      </c>
      <c r="C120" s="4" t="s">
        <v>501</v>
      </c>
      <c r="D120" s="4" t="s">
        <v>31</v>
      </c>
      <c r="E120" s="4" t="s">
        <v>561</v>
      </c>
      <c r="F120" s="4" t="s">
        <v>362</v>
      </c>
      <c r="G120" s="4" t="s">
        <v>501</v>
      </c>
      <c r="H120" s="5">
        <v>3.7</v>
      </c>
      <c r="I120" s="3" t="s">
        <v>562</v>
      </c>
      <c r="J120" s="3" t="s">
        <v>36</v>
      </c>
      <c r="K120" s="3" t="s">
        <v>37</v>
      </c>
      <c r="L120" s="3"/>
      <c r="M120" s="3"/>
      <c r="N120" s="3"/>
      <c r="O120" s="6">
        <v>0</v>
      </c>
      <c r="P120" s="6">
        <v>0</v>
      </c>
      <c r="Q120" s="6">
        <v>0</v>
      </c>
      <c r="R120" s="6">
        <v>1</v>
      </c>
      <c r="S120" s="6">
        <v>0</v>
      </c>
      <c r="T120" s="6">
        <v>1</v>
      </c>
      <c r="U120" s="6">
        <v>0</v>
      </c>
      <c r="V120" s="3"/>
      <c r="W120" s="4" t="s">
        <v>563</v>
      </c>
      <c r="X120" s="7">
        <f>설정!$B$4*H120+설정!$B$5*O120*(1+설정!$B$9*(O120-1))+설정!$B$6*P120*(1+설정!$B$9*(P120-1))+설정!$B$7*Q120*(1+설정!$B$9*(Q120-1))+설정!$B$8*R120*(1+설정!$B$9*(R120-1))</f>
        <v>711</v>
      </c>
      <c r="Y120" s="7">
        <f>설정!$B$10*(O120*(1+설정!$B$9*(O120-1))+P120*(1+설정!$B$9*(P120-1)))</f>
        <v>0</v>
      </c>
      <c r="Z120" s="7">
        <f t="shared" si="1"/>
        <v>-3.7</v>
      </c>
      <c r="AA120" s="7">
        <f>X120*설정!$B$11</f>
        <v>71.100000000000009</v>
      </c>
      <c r="AB120" s="3"/>
    </row>
    <row r="121" spans="1:28">
      <c r="A121" s="3" t="s">
        <v>564</v>
      </c>
      <c r="B121" s="4" t="s">
        <v>565</v>
      </c>
      <c r="C121" s="4" t="s">
        <v>501</v>
      </c>
      <c r="D121" s="4" t="s">
        <v>31</v>
      </c>
      <c r="E121" s="4" t="s">
        <v>566</v>
      </c>
      <c r="F121" s="4" t="s">
        <v>177</v>
      </c>
      <c r="G121" s="4" t="s">
        <v>501</v>
      </c>
      <c r="H121" s="5">
        <v>3.6</v>
      </c>
      <c r="I121" s="3" t="s">
        <v>567</v>
      </c>
      <c r="J121" s="3" t="s">
        <v>36</v>
      </c>
      <c r="K121" s="3" t="s">
        <v>37</v>
      </c>
      <c r="L121" s="3"/>
      <c r="M121" s="3"/>
      <c r="N121" s="3"/>
      <c r="O121" s="6">
        <v>1</v>
      </c>
      <c r="P121" s="6">
        <v>0</v>
      </c>
      <c r="Q121" s="6">
        <v>0</v>
      </c>
      <c r="R121" s="6">
        <v>0</v>
      </c>
      <c r="S121" s="6">
        <v>0</v>
      </c>
      <c r="T121" s="6">
        <v>1</v>
      </c>
      <c r="U121" s="6">
        <v>0</v>
      </c>
      <c r="V121" s="3"/>
      <c r="W121" s="4" t="s">
        <v>568</v>
      </c>
      <c r="X121" s="7">
        <f>설정!$B$4*H121+설정!$B$5*O121*(1+설정!$B$9*(O121-1))+설정!$B$6*P121*(1+설정!$B$9*(P121-1))+설정!$B$7*Q121*(1+설정!$B$9*(Q121-1))+설정!$B$8*R121*(1+설정!$B$9*(R121-1))</f>
        <v>258</v>
      </c>
      <c r="Y121" s="7">
        <f>설정!$B$10*(O121*(1+설정!$B$9*(O121-1))+P121*(1+설정!$B$9*(P121-1)))</f>
        <v>15</v>
      </c>
      <c r="Z121" s="7">
        <f t="shared" si="1"/>
        <v>11.4</v>
      </c>
      <c r="AA121" s="7">
        <f>X121*설정!$B$11</f>
        <v>25.8</v>
      </c>
      <c r="AB121" s="3"/>
    </row>
    <row r="122" spans="1:28">
      <c r="A122" s="3" t="s">
        <v>569</v>
      </c>
      <c r="B122" s="4" t="s">
        <v>570</v>
      </c>
      <c r="C122" s="4" t="s">
        <v>501</v>
      </c>
      <c r="D122" s="4" t="s">
        <v>31</v>
      </c>
      <c r="E122" s="4" t="s">
        <v>571</v>
      </c>
      <c r="F122" s="4" t="s">
        <v>177</v>
      </c>
      <c r="G122" s="4" t="s">
        <v>501</v>
      </c>
      <c r="H122" s="5">
        <v>3.5</v>
      </c>
      <c r="I122" s="3" t="s">
        <v>572</v>
      </c>
      <c r="J122" s="3" t="s">
        <v>36</v>
      </c>
      <c r="K122" s="3" t="s">
        <v>37</v>
      </c>
      <c r="L122" s="3"/>
      <c r="M122" s="3"/>
      <c r="N122" s="3"/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6">
        <v>1</v>
      </c>
      <c r="U122" s="6">
        <v>0</v>
      </c>
      <c r="V122" s="3"/>
      <c r="W122" s="4" t="s">
        <v>573</v>
      </c>
      <c r="X122" s="7">
        <f>설정!$B$4*H122+설정!$B$5*O122*(1+설정!$B$9*(O122-1))+설정!$B$6*P122*(1+설정!$B$9*(P122-1))+설정!$B$7*Q122*(1+설정!$B$9*(Q122-1))+설정!$B$8*R122*(1+설정!$B$9*(R122-1))</f>
        <v>255</v>
      </c>
      <c r="Y122" s="7">
        <f>설정!$B$10*(O122*(1+설정!$B$9*(O122-1))+P122*(1+설정!$B$9*(P122-1)))</f>
        <v>15</v>
      </c>
      <c r="Z122" s="7">
        <f t="shared" si="1"/>
        <v>11.5</v>
      </c>
      <c r="AA122" s="7">
        <f>X122*설정!$B$11</f>
        <v>25.5</v>
      </c>
      <c r="AB122" s="3"/>
    </row>
    <row r="123" spans="1:28">
      <c r="A123" s="3" t="s">
        <v>574</v>
      </c>
      <c r="B123" s="4" t="s">
        <v>575</v>
      </c>
      <c r="C123" s="4" t="s">
        <v>501</v>
      </c>
      <c r="D123" s="4" t="s">
        <v>31</v>
      </c>
      <c r="E123" s="4" t="s">
        <v>576</v>
      </c>
      <c r="F123" s="4" t="s">
        <v>177</v>
      </c>
      <c r="G123" s="4" t="s">
        <v>501</v>
      </c>
      <c r="H123" s="5">
        <v>3.1</v>
      </c>
      <c r="I123" s="3" t="s">
        <v>577</v>
      </c>
      <c r="J123" s="3" t="s">
        <v>36</v>
      </c>
      <c r="K123" s="3" t="s">
        <v>37</v>
      </c>
      <c r="L123" s="3"/>
      <c r="M123" s="3"/>
      <c r="N123" s="3"/>
      <c r="O123" s="6">
        <v>1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3"/>
      <c r="W123" s="4" t="s">
        <v>578</v>
      </c>
      <c r="X123" s="7">
        <f>설정!$B$4*H123+설정!$B$5*O123*(1+설정!$B$9*(O123-1))+설정!$B$6*P123*(1+설정!$B$9*(P123-1))+설정!$B$7*Q123*(1+설정!$B$9*(Q123-1))+설정!$B$8*R123*(1+설정!$B$9*(R123-1))</f>
        <v>243</v>
      </c>
      <c r="Y123" s="7">
        <f>설정!$B$10*(O123*(1+설정!$B$9*(O123-1))+P123*(1+설정!$B$9*(P123-1)))</f>
        <v>15</v>
      </c>
      <c r="Z123" s="7">
        <f t="shared" si="1"/>
        <v>11.9</v>
      </c>
      <c r="AA123" s="7">
        <f>X123*설정!$B$11</f>
        <v>24.3</v>
      </c>
      <c r="AB123" s="3"/>
    </row>
    <row r="124" spans="1:28">
      <c r="A124" s="3" t="s">
        <v>579</v>
      </c>
      <c r="B124" s="4" t="s">
        <v>580</v>
      </c>
      <c r="C124" s="4" t="s">
        <v>501</v>
      </c>
      <c r="D124" s="4" t="s">
        <v>31</v>
      </c>
      <c r="E124" s="4" t="s">
        <v>581</v>
      </c>
      <c r="F124" s="4" t="s">
        <v>177</v>
      </c>
      <c r="G124" s="4" t="s">
        <v>501</v>
      </c>
      <c r="H124" s="5">
        <v>2.7</v>
      </c>
      <c r="I124" s="3" t="s">
        <v>582</v>
      </c>
      <c r="J124" s="3" t="s">
        <v>36</v>
      </c>
      <c r="K124" s="3" t="s">
        <v>140</v>
      </c>
      <c r="L124" s="4" t="s">
        <v>338</v>
      </c>
      <c r="M124" s="3"/>
      <c r="N124" s="3"/>
      <c r="O124" s="6">
        <v>1</v>
      </c>
      <c r="P124" s="6">
        <v>1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3"/>
      <c r="W124" s="4" t="s">
        <v>583</v>
      </c>
      <c r="X124" s="7">
        <f>설정!$B$4*H124+설정!$B$5*O124*(1+설정!$B$9*(O124-1))+설정!$B$6*P124*(1+설정!$B$9*(P124-1))+설정!$B$7*Q124*(1+설정!$B$9*(Q124-1))+설정!$B$8*R124*(1+설정!$B$9*(R124-1))</f>
        <v>381</v>
      </c>
      <c r="Y124" s="7">
        <f>설정!$B$10*(O124*(1+설정!$B$9*(O124-1))+P124*(1+설정!$B$9*(P124-1)))</f>
        <v>30</v>
      </c>
      <c r="Z124" s="7">
        <f t="shared" si="1"/>
        <v>27.3</v>
      </c>
      <c r="AA124" s="7">
        <f>X124*설정!$B$11</f>
        <v>38.1</v>
      </c>
      <c r="AB124" s="3"/>
    </row>
    <row r="125" spans="1:28">
      <c r="A125" s="3" t="s">
        <v>584</v>
      </c>
      <c r="B125" s="4" t="s">
        <v>585</v>
      </c>
      <c r="C125" s="4" t="s">
        <v>501</v>
      </c>
      <c r="D125" s="4" t="s">
        <v>31</v>
      </c>
      <c r="E125" s="4" t="s">
        <v>586</v>
      </c>
      <c r="F125" s="4" t="s">
        <v>177</v>
      </c>
      <c r="G125" s="4" t="s">
        <v>501</v>
      </c>
      <c r="H125" s="5">
        <v>2.2999999999999998</v>
      </c>
      <c r="I125" s="3" t="s">
        <v>587</v>
      </c>
      <c r="J125" s="3" t="s">
        <v>36</v>
      </c>
      <c r="K125" s="3" t="s">
        <v>37</v>
      </c>
      <c r="L125" s="3"/>
      <c r="M125" s="3"/>
      <c r="N125" s="3"/>
      <c r="O125" s="6">
        <v>1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1</v>
      </c>
      <c r="V125" s="4" t="s">
        <v>588</v>
      </c>
      <c r="W125" s="4" t="s">
        <v>589</v>
      </c>
      <c r="X125" s="7">
        <f>설정!$B$4*H125+설정!$B$5*O125*(1+설정!$B$9*(O125-1))+설정!$B$6*P125*(1+설정!$B$9*(P125-1))+설정!$B$7*Q125*(1+설정!$B$9*(Q125-1))+설정!$B$8*R125*(1+설정!$B$9*(R125-1))</f>
        <v>219</v>
      </c>
      <c r="Y125" s="7">
        <f>설정!$B$10*(O125*(1+설정!$B$9*(O125-1))+P125*(1+설정!$B$9*(P125-1)))</f>
        <v>15</v>
      </c>
      <c r="Z125" s="7">
        <f t="shared" si="1"/>
        <v>12.7</v>
      </c>
      <c r="AA125" s="7">
        <f>X125*설정!$B$11</f>
        <v>21.900000000000002</v>
      </c>
      <c r="AB125" s="3"/>
    </row>
    <row r="126" spans="1:28">
      <c r="A126" s="3" t="s">
        <v>590</v>
      </c>
      <c r="B126" s="4" t="s">
        <v>591</v>
      </c>
      <c r="C126" s="4" t="s">
        <v>501</v>
      </c>
      <c r="D126" s="4" t="s">
        <v>31</v>
      </c>
      <c r="E126" s="4" t="s">
        <v>592</v>
      </c>
      <c r="F126" s="4" t="s">
        <v>177</v>
      </c>
      <c r="G126" s="4" t="s">
        <v>501</v>
      </c>
      <c r="H126" s="5">
        <v>2</v>
      </c>
      <c r="I126" s="3" t="s">
        <v>593</v>
      </c>
      <c r="J126" s="3" t="s">
        <v>36</v>
      </c>
      <c r="K126" s="3" t="s">
        <v>37</v>
      </c>
      <c r="L126" s="3"/>
      <c r="M126" s="3"/>
      <c r="N126" s="3"/>
      <c r="O126" s="6">
        <v>1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3"/>
      <c r="W126" s="4" t="s">
        <v>594</v>
      </c>
      <c r="X126" s="7">
        <f>설정!$B$4*H126+설정!$B$5*O126*(1+설정!$B$9*(O126-1))+설정!$B$6*P126*(1+설정!$B$9*(P126-1))+설정!$B$7*Q126*(1+설정!$B$9*(Q126-1))+설정!$B$8*R126*(1+설정!$B$9*(R126-1))</f>
        <v>210</v>
      </c>
      <c r="Y126" s="7">
        <f>설정!$B$10*(O126*(1+설정!$B$9*(O126-1))+P126*(1+설정!$B$9*(P126-1)))</f>
        <v>15</v>
      </c>
      <c r="Z126" s="7">
        <f t="shared" si="1"/>
        <v>13</v>
      </c>
      <c r="AA126" s="7">
        <f>X126*설정!$B$11</f>
        <v>21</v>
      </c>
      <c r="AB126" s="3"/>
    </row>
    <row r="127" spans="1:28">
      <c r="A127" s="10" t="s">
        <v>595</v>
      </c>
      <c r="B127" s="11" t="s">
        <v>596</v>
      </c>
      <c r="C127" s="11" t="s">
        <v>501</v>
      </c>
      <c r="D127" s="11" t="s">
        <v>597</v>
      </c>
      <c r="E127" s="11" t="s">
        <v>598</v>
      </c>
      <c r="F127" s="4" t="s">
        <v>362</v>
      </c>
      <c r="G127" s="4" t="s">
        <v>501</v>
      </c>
      <c r="H127" s="5">
        <v>54.5</v>
      </c>
      <c r="I127" s="3" t="s">
        <v>599</v>
      </c>
      <c r="J127" s="3" t="s">
        <v>600</v>
      </c>
      <c r="K127" s="3" t="s">
        <v>140</v>
      </c>
      <c r="L127" s="4" t="s">
        <v>601</v>
      </c>
      <c r="M127" s="3"/>
      <c r="N127" s="3"/>
      <c r="O127" s="6">
        <v>1</v>
      </c>
      <c r="P127" s="6">
        <v>2</v>
      </c>
      <c r="Q127" s="6">
        <v>2</v>
      </c>
      <c r="R127" s="6">
        <v>2</v>
      </c>
      <c r="S127" s="6">
        <v>0</v>
      </c>
      <c r="T127" s="6">
        <v>0</v>
      </c>
      <c r="U127" s="6">
        <v>0</v>
      </c>
      <c r="V127" s="3"/>
      <c r="W127" s="4" t="s">
        <v>602</v>
      </c>
      <c r="X127" s="7">
        <f>설정!$B$4*H127+설정!$B$5*O127*(1+설정!$B$9*(O127-1))+설정!$B$6*P127*(1+설정!$B$9*(P127-1))+설정!$B$7*Q127*(1+설정!$B$9*(Q127-1))+설정!$B$8*R127*(1+설정!$B$9*(R127-1))</f>
        <v>5985</v>
      </c>
      <c r="Y127" s="7">
        <f>설정!$B$10*(O127*(1+설정!$B$9*(O127-1))+P127*(1+설정!$B$9*(P127-1)))</f>
        <v>51</v>
      </c>
      <c r="Z127" s="7">
        <f t="shared" si="1"/>
        <v>-3.5</v>
      </c>
      <c r="AA127" s="7">
        <f>X127*설정!$B$11</f>
        <v>598.5</v>
      </c>
      <c r="AB127" s="3"/>
    </row>
    <row r="128" spans="1:28">
      <c r="A128" s="10" t="s">
        <v>603</v>
      </c>
      <c r="B128" s="11" t="s">
        <v>604</v>
      </c>
      <c r="C128" s="11" t="s">
        <v>501</v>
      </c>
      <c r="D128" s="11" t="s">
        <v>597</v>
      </c>
      <c r="E128" s="11" t="s">
        <v>605</v>
      </c>
      <c r="F128" s="4" t="s">
        <v>362</v>
      </c>
      <c r="G128" s="4" t="s">
        <v>501</v>
      </c>
      <c r="H128" s="5">
        <v>18.399999999999999</v>
      </c>
      <c r="I128" s="3" t="s">
        <v>606</v>
      </c>
      <c r="J128" s="3" t="s">
        <v>600</v>
      </c>
      <c r="K128" s="3" t="s">
        <v>140</v>
      </c>
      <c r="L128" s="4" t="s">
        <v>601</v>
      </c>
      <c r="M128" s="3"/>
      <c r="N128" s="3"/>
      <c r="O128" s="6">
        <v>1</v>
      </c>
      <c r="P128" s="6">
        <v>1</v>
      </c>
      <c r="Q128" s="6">
        <v>0</v>
      </c>
      <c r="R128" s="6">
        <v>1</v>
      </c>
      <c r="S128" s="6">
        <v>0</v>
      </c>
      <c r="T128" s="6">
        <v>0</v>
      </c>
      <c r="U128" s="6">
        <v>0</v>
      </c>
      <c r="V128" s="3"/>
      <c r="W128" s="4" t="s">
        <v>607</v>
      </c>
      <c r="X128" s="7">
        <f>설정!$B$4*H128+설정!$B$5*O128*(1+설정!$B$9*(O128-1))+설정!$B$6*P128*(1+설정!$B$9*(P128-1))+설정!$B$7*Q128*(1+설정!$B$9*(Q128-1))+설정!$B$8*R128*(1+설정!$B$9*(R128-1))</f>
        <v>1452</v>
      </c>
      <c r="Y128" s="7">
        <f>설정!$B$10*(O128*(1+설정!$B$9*(O128-1))+P128*(1+설정!$B$9*(P128-1)))</f>
        <v>30</v>
      </c>
      <c r="Z128" s="7">
        <f t="shared" si="1"/>
        <v>11.600000000000001</v>
      </c>
      <c r="AA128" s="7">
        <f>X128*설정!$B$11</f>
        <v>145.20000000000002</v>
      </c>
      <c r="AB128" s="4" t="s">
        <v>608</v>
      </c>
    </row>
    <row r="129" spans="1:28">
      <c r="A129" s="10" t="s">
        <v>609</v>
      </c>
      <c r="B129" s="11" t="s">
        <v>610</v>
      </c>
      <c r="C129" s="11" t="s">
        <v>501</v>
      </c>
      <c r="D129" s="11" t="s">
        <v>597</v>
      </c>
      <c r="E129" s="11" t="s">
        <v>611</v>
      </c>
      <c r="F129" s="4" t="s">
        <v>177</v>
      </c>
      <c r="G129" s="4" t="s">
        <v>501</v>
      </c>
      <c r="H129" s="5">
        <v>15.5</v>
      </c>
      <c r="I129" s="3" t="s">
        <v>612</v>
      </c>
      <c r="J129" s="3" t="s">
        <v>600</v>
      </c>
      <c r="K129" s="3" t="s">
        <v>37</v>
      </c>
      <c r="L129" s="3"/>
      <c r="M129" s="3"/>
      <c r="N129" s="3"/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3"/>
      <c r="W129" s="4" t="s">
        <v>613</v>
      </c>
      <c r="X129" s="7">
        <f>설정!$B$4*H129+설정!$B$5*O129*(1+설정!$B$9*(O129-1))+설정!$B$6*P129*(1+설정!$B$9*(P129-1))+설정!$B$7*Q129*(1+설정!$B$9*(Q129-1))+설정!$B$8*R129*(1+설정!$B$9*(R129-1))</f>
        <v>615</v>
      </c>
      <c r="Y129" s="7">
        <f>설정!$B$10*(O129*(1+설정!$B$9*(O129-1))+P129*(1+설정!$B$9*(P129-1)))</f>
        <v>15</v>
      </c>
      <c r="Z129" s="7">
        <f t="shared" si="1"/>
        <v>-0.5</v>
      </c>
      <c r="AA129" s="7">
        <f>X129*설정!$B$11</f>
        <v>61.5</v>
      </c>
      <c r="AB129" s="3"/>
    </row>
    <row r="130" spans="1:28">
      <c r="A130" s="10" t="s">
        <v>614</v>
      </c>
      <c r="B130" s="11" t="s">
        <v>615</v>
      </c>
      <c r="C130" s="11" t="s">
        <v>501</v>
      </c>
      <c r="D130" s="11" t="s">
        <v>597</v>
      </c>
      <c r="E130" s="11" t="s">
        <v>616</v>
      </c>
      <c r="F130" s="4" t="s">
        <v>177</v>
      </c>
      <c r="G130" s="4" t="s">
        <v>501</v>
      </c>
      <c r="H130" s="5">
        <v>14.1</v>
      </c>
      <c r="I130" s="3" t="s">
        <v>617</v>
      </c>
      <c r="J130" s="3" t="s">
        <v>600</v>
      </c>
      <c r="K130" s="3" t="s">
        <v>140</v>
      </c>
      <c r="L130" s="4" t="s">
        <v>601</v>
      </c>
      <c r="M130" s="3"/>
      <c r="N130" s="3"/>
      <c r="O130" s="6">
        <v>2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4" t="s">
        <v>618</v>
      </c>
      <c r="W130" s="4" t="s">
        <v>619</v>
      </c>
      <c r="X130" s="7">
        <f>설정!$B$4*H130+설정!$B$5*O130*(1+설정!$B$9*(O130-1))+설정!$B$6*P130*(1+설정!$B$9*(P130-1))+설정!$B$7*Q130*(1+설정!$B$9*(Q130-1))+설정!$B$8*R130*(1+설정!$B$9*(R130-1))</f>
        <v>933</v>
      </c>
      <c r="Y130" s="7">
        <f>설정!$B$10*(O130*(1+설정!$B$9*(O130-1))+P130*(1+설정!$B$9*(P130-1)))</f>
        <v>51</v>
      </c>
      <c r="Z130" s="7">
        <f t="shared" ref="Z130:Z193" si="2">Y130-H130</f>
        <v>36.9</v>
      </c>
      <c r="AA130" s="7">
        <f>X130*설정!$B$11</f>
        <v>93.300000000000011</v>
      </c>
      <c r="AB130" s="4" t="s">
        <v>608</v>
      </c>
    </row>
    <row r="131" spans="1:28">
      <c r="A131" s="10" t="s">
        <v>620</v>
      </c>
      <c r="B131" s="11" t="s">
        <v>621</v>
      </c>
      <c r="C131" s="11" t="s">
        <v>501</v>
      </c>
      <c r="D131" s="11" t="s">
        <v>597</v>
      </c>
      <c r="E131" s="11" t="s">
        <v>622</v>
      </c>
      <c r="F131" s="4" t="s">
        <v>177</v>
      </c>
      <c r="G131" s="4" t="s">
        <v>501</v>
      </c>
      <c r="H131" s="5">
        <v>13.6</v>
      </c>
      <c r="I131" s="3" t="s">
        <v>623</v>
      </c>
      <c r="J131" s="3" t="s">
        <v>600</v>
      </c>
      <c r="K131" s="3" t="s">
        <v>37</v>
      </c>
      <c r="L131" s="3"/>
      <c r="M131" s="3"/>
      <c r="N131" s="3"/>
      <c r="O131" s="6">
        <v>2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3"/>
      <c r="W131" s="4" t="s">
        <v>624</v>
      </c>
      <c r="X131" s="7">
        <f>설정!$B$4*H131+설정!$B$5*O131*(1+설정!$B$9*(O131-1))+설정!$B$6*P131*(1+설정!$B$9*(P131-1))+설정!$B$7*Q131*(1+설정!$B$9*(Q131-1))+설정!$B$8*R131*(1+설정!$B$9*(R131-1))</f>
        <v>768</v>
      </c>
      <c r="Y131" s="7">
        <f>설정!$B$10*(O131*(1+설정!$B$9*(O131-1))+P131*(1+설정!$B$9*(P131-1)))</f>
        <v>36</v>
      </c>
      <c r="Z131" s="7">
        <f t="shared" si="2"/>
        <v>22.4</v>
      </c>
      <c r="AA131" s="7">
        <f>X131*설정!$B$11</f>
        <v>76.800000000000011</v>
      </c>
      <c r="AB131" s="4" t="s">
        <v>608</v>
      </c>
    </row>
    <row r="132" spans="1:28">
      <c r="A132" s="10" t="s">
        <v>625</v>
      </c>
      <c r="B132" s="11" t="s">
        <v>626</v>
      </c>
      <c r="C132" s="11" t="s">
        <v>501</v>
      </c>
      <c r="D132" s="11" t="s">
        <v>597</v>
      </c>
      <c r="E132" s="11" t="s">
        <v>627</v>
      </c>
      <c r="F132" s="4" t="s">
        <v>177</v>
      </c>
      <c r="G132" s="4" t="s">
        <v>501</v>
      </c>
      <c r="H132" s="5">
        <v>13.4</v>
      </c>
      <c r="I132" s="3" t="s">
        <v>628</v>
      </c>
      <c r="J132" s="3" t="s">
        <v>600</v>
      </c>
      <c r="K132" s="3" t="s">
        <v>140</v>
      </c>
      <c r="L132" s="4" t="s">
        <v>601</v>
      </c>
      <c r="M132" s="3"/>
      <c r="N132" s="3"/>
      <c r="O132" s="6">
        <v>1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3"/>
      <c r="W132" s="4" t="s">
        <v>629</v>
      </c>
      <c r="X132" s="7">
        <f>설정!$B$4*H132+설정!$B$5*O132*(1+설정!$B$9*(O132-1))+설정!$B$6*P132*(1+설정!$B$9*(P132-1))+설정!$B$7*Q132*(1+설정!$B$9*(Q132-1))+설정!$B$8*R132*(1+설정!$B$9*(R132-1))</f>
        <v>702</v>
      </c>
      <c r="Y132" s="7">
        <f>설정!$B$10*(O132*(1+설정!$B$9*(O132-1))+P132*(1+설정!$B$9*(P132-1)))</f>
        <v>30</v>
      </c>
      <c r="Z132" s="7">
        <f t="shared" si="2"/>
        <v>16.600000000000001</v>
      </c>
      <c r="AA132" s="7">
        <f>X132*설정!$B$11</f>
        <v>70.2</v>
      </c>
      <c r="AB132" s="3"/>
    </row>
    <row r="133" spans="1:28">
      <c r="A133" s="10" t="s">
        <v>630</v>
      </c>
      <c r="B133" s="11" t="s">
        <v>631</v>
      </c>
      <c r="C133" s="11" t="s">
        <v>501</v>
      </c>
      <c r="D133" s="11" t="s">
        <v>597</v>
      </c>
      <c r="E133" s="11" t="s">
        <v>632</v>
      </c>
      <c r="F133" s="4" t="s">
        <v>177</v>
      </c>
      <c r="G133" s="4" t="s">
        <v>501</v>
      </c>
      <c r="H133" s="5">
        <v>12.8</v>
      </c>
      <c r="I133" s="3" t="s">
        <v>633</v>
      </c>
      <c r="J133" s="3" t="s">
        <v>600</v>
      </c>
      <c r="K133" s="3" t="s">
        <v>140</v>
      </c>
      <c r="L133" s="4" t="s">
        <v>601</v>
      </c>
      <c r="M133" s="3"/>
      <c r="N133" s="3"/>
      <c r="O133" s="6">
        <v>1</v>
      </c>
      <c r="P133" s="6">
        <v>1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3"/>
      <c r="W133" s="3"/>
      <c r="X133" s="7">
        <f>설정!$B$4*H133+설정!$B$5*O133*(1+설정!$B$9*(O133-1))+설정!$B$6*P133*(1+설정!$B$9*(P133-1))+설정!$B$7*Q133*(1+설정!$B$9*(Q133-1))+설정!$B$8*R133*(1+설정!$B$9*(R133-1))</f>
        <v>684</v>
      </c>
      <c r="Y133" s="7">
        <f>설정!$B$10*(O133*(1+설정!$B$9*(O133-1))+P133*(1+설정!$B$9*(P133-1)))</f>
        <v>30</v>
      </c>
      <c r="Z133" s="7">
        <f t="shared" si="2"/>
        <v>17.2</v>
      </c>
      <c r="AA133" s="7">
        <f>X133*설정!$B$11</f>
        <v>68.400000000000006</v>
      </c>
      <c r="AB133" s="3"/>
    </row>
    <row r="134" spans="1:28">
      <c r="A134" s="10" t="s">
        <v>634</v>
      </c>
      <c r="B134" s="11" t="s">
        <v>635</v>
      </c>
      <c r="C134" s="11" t="s">
        <v>501</v>
      </c>
      <c r="D134" s="11" t="s">
        <v>597</v>
      </c>
      <c r="E134" s="11" t="s">
        <v>636</v>
      </c>
      <c r="F134" s="4" t="s">
        <v>177</v>
      </c>
      <c r="G134" s="4" t="s">
        <v>501</v>
      </c>
      <c r="H134" s="5">
        <v>9.1999999999999993</v>
      </c>
      <c r="I134" s="3" t="s">
        <v>637</v>
      </c>
      <c r="J134" s="3" t="s">
        <v>600</v>
      </c>
      <c r="K134" s="3" t="s">
        <v>37</v>
      </c>
      <c r="L134" s="3"/>
      <c r="M134" s="3"/>
      <c r="N134" s="3"/>
      <c r="O134" s="6">
        <v>1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3"/>
      <c r="W134" s="4" t="s">
        <v>638</v>
      </c>
      <c r="X134" s="7">
        <f>설정!$B$4*H134+설정!$B$5*O134*(1+설정!$B$9*(O134-1))+설정!$B$6*P134*(1+설정!$B$9*(P134-1))+설정!$B$7*Q134*(1+설정!$B$9*(Q134-1))+설정!$B$8*R134*(1+설정!$B$9*(R134-1))</f>
        <v>426</v>
      </c>
      <c r="Y134" s="7">
        <f>설정!$B$10*(O134*(1+설정!$B$9*(O134-1))+P134*(1+설정!$B$9*(P134-1)))</f>
        <v>15</v>
      </c>
      <c r="Z134" s="7">
        <f t="shared" si="2"/>
        <v>5.8000000000000007</v>
      </c>
      <c r="AA134" s="7">
        <f>X134*설정!$B$11</f>
        <v>42.6</v>
      </c>
      <c r="AB134" s="3"/>
    </row>
    <row r="135" spans="1:28">
      <c r="A135" s="10" t="s">
        <v>639</v>
      </c>
      <c r="B135" s="11" t="s">
        <v>640</v>
      </c>
      <c r="C135" s="11" t="s">
        <v>501</v>
      </c>
      <c r="D135" s="11" t="s">
        <v>597</v>
      </c>
      <c r="E135" s="11" t="s">
        <v>641</v>
      </c>
      <c r="F135" s="4" t="s">
        <v>177</v>
      </c>
      <c r="G135" s="4" t="s">
        <v>501</v>
      </c>
      <c r="H135" s="5">
        <v>8.6</v>
      </c>
      <c r="I135" s="3" t="s">
        <v>642</v>
      </c>
      <c r="J135" s="3" t="s">
        <v>600</v>
      </c>
      <c r="K135" s="3" t="s">
        <v>37</v>
      </c>
      <c r="L135" s="3"/>
      <c r="M135" s="3"/>
      <c r="N135" s="3"/>
      <c r="O135" s="6">
        <v>1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3"/>
      <c r="W135" s="3"/>
      <c r="X135" s="7">
        <f>설정!$B$4*H135+설정!$B$5*O135*(1+설정!$B$9*(O135-1))+설정!$B$6*P135*(1+설정!$B$9*(P135-1))+설정!$B$7*Q135*(1+설정!$B$9*(Q135-1))+설정!$B$8*R135*(1+설정!$B$9*(R135-1))</f>
        <v>408</v>
      </c>
      <c r="Y135" s="7">
        <f>설정!$B$10*(O135*(1+설정!$B$9*(O135-1))+P135*(1+설정!$B$9*(P135-1)))</f>
        <v>15</v>
      </c>
      <c r="Z135" s="7">
        <f t="shared" si="2"/>
        <v>6.4</v>
      </c>
      <c r="AA135" s="7">
        <f>X135*설정!$B$11</f>
        <v>40.800000000000004</v>
      </c>
      <c r="AB135" s="3"/>
    </row>
    <row r="136" spans="1:28">
      <c r="A136" s="10" t="s">
        <v>643</v>
      </c>
      <c r="B136" s="11" t="s">
        <v>644</v>
      </c>
      <c r="C136" s="11" t="s">
        <v>501</v>
      </c>
      <c r="D136" s="11" t="s">
        <v>597</v>
      </c>
      <c r="E136" s="11" t="s">
        <v>645</v>
      </c>
      <c r="F136" s="4" t="s">
        <v>177</v>
      </c>
      <c r="G136" s="4" t="s">
        <v>501</v>
      </c>
      <c r="H136" s="5">
        <v>8.5</v>
      </c>
      <c r="I136" s="3" t="s">
        <v>646</v>
      </c>
      <c r="J136" s="3" t="s">
        <v>600</v>
      </c>
      <c r="K136" s="3" t="s">
        <v>37</v>
      </c>
      <c r="L136" s="3"/>
      <c r="M136" s="3"/>
      <c r="N136" s="3"/>
      <c r="O136" s="6">
        <v>1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3"/>
      <c r="W136" s="3"/>
      <c r="X136" s="7">
        <f>설정!$B$4*H136+설정!$B$5*O136*(1+설정!$B$9*(O136-1))+설정!$B$6*P136*(1+설정!$B$9*(P136-1))+설정!$B$7*Q136*(1+설정!$B$9*(Q136-1))+설정!$B$8*R136*(1+설정!$B$9*(R136-1))</f>
        <v>405</v>
      </c>
      <c r="Y136" s="7">
        <f>설정!$B$10*(O136*(1+설정!$B$9*(O136-1))+P136*(1+설정!$B$9*(P136-1)))</f>
        <v>15</v>
      </c>
      <c r="Z136" s="7">
        <f t="shared" si="2"/>
        <v>6.5</v>
      </c>
      <c r="AA136" s="7">
        <f>X136*설정!$B$11</f>
        <v>40.5</v>
      </c>
      <c r="AB136" s="3"/>
    </row>
    <row r="137" spans="1:28">
      <c r="A137" s="10" t="s">
        <v>647</v>
      </c>
      <c r="B137" s="11" t="s">
        <v>648</v>
      </c>
      <c r="C137" s="11" t="s">
        <v>501</v>
      </c>
      <c r="D137" s="11" t="s">
        <v>597</v>
      </c>
      <c r="E137" s="11" t="s">
        <v>649</v>
      </c>
      <c r="F137" s="4" t="s">
        <v>177</v>
      </c>
      <c r="G137" s="4" t="s">
        <v>501</v>
      </c>
      <c r="H137" s="5">
        <v>8.1</v>
      </c>
      <c r="I137" s="3" t="s">
        <v>650</v>
      </c>
      <c r="J137" s="3" t="s">
        <v>600</v>
      </c>
      <c r="K137" s="3" t="s">
        <v>37</v>
      </c>
      <c r="L137" s="3"/>
      <c r="M137" s="3"/>
      <c r="N137" s="3"/>
      <c r="O137" s="6">
        <v>1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3"/>
      <c r="W137" s="4" t="s">
        <v>651</v>
      </c>
      <c r="X137" s="7">
        <f>설정!$B$4*H137+설정!$B$5*O137*(1+설정!$B$9*(O137-1))+설정!$B$6*P137*(1+설정!$B$9*(P137-1))+설정!$B$7*Q137*(1+설정!$B$9*(Q137-1))+설정!$B$8*R137*(1+설정!$B$9*(R137-1))</f>
        <v>393</v>
      </c>
      <c r="Y137" s="7">
        <f>설정!$B$10*(O137*(1+설정!$B$9*(O137-1))+P137*(1+설정!$B$9*(P137-1)))</f>
        <v>15</v>
      </c>
      <c r="Z137" s="7">
        <f t="shared" si="2"/>
        <v>6.9</v>
      </c>
      <c r="AA137" s="7">
        <f>X137*설정!$B$11</f>
        <v>39.300000000000004</v>
      </c>
      <c r="AB137" s="4" t="s">
        <v>608</v>
      </c>
    </row>
    <row r="138" spans="1:28">
      <c r="A138" s="10" t="s">
        <v>652</v>
      </c>
      <c r="B138" s="11" t="s">
        <v>653</v>
      </c>
      <c r="C138" s="11" t="s">
        <v>501</v>
      </c>
      <c r="D138" s="11" t="s">
        <v>597</v>
      </c>
      <c r="E138" s="11" t="s">
        <v>654</v>
      </c>
      <c r="F138" s="4" t="s">
        <v>177</v>
      </c>
      <c r="G138" s="4" t="s">
        <v>501</v>
      </c>
      <c r="H138" s="5">
        <v>7.7</v>
      </c>
      <c r="I138" s="3" t="s">
        <v>655</v>
      </c>
      <c r="J138" s="3" t="s">
        <v>600</v>
      </c>
      <c r="K138" s="3" t="s">
        <v>37</v>
      </c>
      <c r="L138" s="3"/>
      <c r="M138" s="3"/>
      <c r="N138" s="3"/>
      <c r="O138" s="6">
        <v>1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3"/>
      <c r="W138" s="3"/>
      <c r="X138" s="7">
        <f>설정!$B$4*H138+설정!$B$5*O138*(1+설정!$B$9*(O138-1))+설정!$B$6*P138*(1+설정!$B$9*(P138-1))+설정!$B$7*Q138*(1+설정!$B$9*(Q138-1))+설정!$B$8*R138*(1+설정!$B$9*(R138-1))</f>
        <v>381</v>
      </c>
      <c r="Y138" s="7">
        <f>설정!$B$10*(O138*(1+설정!$B$9*(O138-1))+P138*(1+설정!$B$9*(P138-1)))</f>
        <v>15</v>
      </c>
      <c r="Z138" s="7">
        <f t="shared" si="2"/>
        <v>7.3</v>
      </c>
      <c r="AA138" s="7">
        <f>X138*설정!$B$11</f>
        <v>38.1</v>
      </c>
      <c r="AB138" s="3"/>
    </row>
    <row r="139" spans="1:28">
      <c r="A139" s="10" t="s">
        <v>656</v>
      </c>
      <c r="B139" s="11" t="s">
        <v>657</v>
      </c>
      <c r="C139" s="11" t="s">
        <v>501</v>
      </c>
      <c r="D139" s="11" t="s">
        <v>597</v>
      </c>
      <c r="E139" s="11" t="s">
        <v>658</v>
      </c>
      <c r="F139" s="4" t="s">
        <v>177</v>
      </c>
      <c r="G139" s="4" t="s">
        <v>501</v>
      </c>
      <c r="H139" s="5">
        <v>7.1</v>
      </c>
      <c r="I139" s="3" t="s">
        <v>659</v>
      </c>
      <c r="J139" s="3" t="s">
        <v>600</v>
      </c>
      <c r="K139" s="3" t="s">
        <v>37</v>
      </c>
      <c r="L139" s="3"/>
      <c r="M139" s="3"/>
      <c r="N139" s="3"/>
      <c r="O139" s="6">
        <v>1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3"/>
      <c r="W139" s="3"/>
      <c r="X139" s="7">
        <f>설정!$B$4*H139+설정!$B$5*O139*(1+설정!$B$9*(O139-1))+설정!$B$6*P139*(1+설정!$B$9*(P139-1))+설정!$B$7*Q139*(1+설정!$B$9*(Q139-1))+설정!$B$8*R139*(1+설정!$B$9*(R139-1))</f>
        <v>363</v>
      </c>
      <c r="Y139" s="7">
        <f>설정!$B$10*(O139*(1+설정!$B$9*(O139-1))+P139*(1+설정!$B$9*(P139-1)))</f>
        <v>15</v>
      </c>
      <c r="Z139" s="7">
        <f t="shared" si="2"/>
        <v>7.9</v>
      </c>
      <c r="AA139" s="7">
        <f>X139*설정!$B$11</f>
        <v>36.300000000000004</v>
      </c>
      <c r="AB139" s="3"/>
    </row>
    <row r="140" spans="1:28">
      <c r="A140" s="10" t="s">
        <v>660</v>
      </c>
      <c r="B140" s="11" t="s">
        <v>661</v>
      </c>
      <c r="C140" s="11" t="s">
        <v>501</v>
      </c>
      <c r="D140" s="11" t="s">
        <v>597</v>
      </c>
      <c r="E140" s="11" t="s">
        <v>662</v>
      </c>
      <c r="F140" s="4" t="s">
        <v>177</v>
      </c>
      <c r="G140" s="4" t="s">
        <v>501</v>
      </c>
      <c r="H140" s="5">
        <v>6.4</v>
      </c>
      <c r="I140" s="3" t="s">
        <v>663</v>
      </c>
      <c r="J140" s="3" t="s">
        <v>600</v>
      </c>
      <c r="K140" s="3" t="s">
        <v>37</v>
      </c>
      <c r="L140" s="3"/>
      <c r="M140" s="3"/>
      <c r="N140" s="3"/>
      <c r="O140" s="6">
        <v>1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3"/>
      <c r="W140" s="3"/>
      <c r="X140" s="7">
        <f>설정!$B$4*H140+설정!$B$5*O140*(1+설정!$B$9*(O140-1))+설정!$B$6*P140*(1+설정!$B$9*(P140-1))+설정!$B$7*Q140*(1+설정!$B$9*(Q140-1))+설정!$B$8*R140*(1+설정!$B$9*(R140-1))</f>
        <v>342</v>
      </c>
      <c r="Y140" s="7">
        <f>설정!$B$10*(O140*(1+설정!$B$9*(O140-1))+P140*(1+설정!$B$9*(P140-1)))</f>
        <v>15</v>
      </c>
      <c r="Z140" s="7">
        <f t="shared" si="2"/>
        <v>8.6</v>
      </c>
      <c r="AA140" s="7">
        <f>X140*설정!$B$11</f>
        <v>34.200000000000003</v>
      </c>
      <c r="AB140" s="3"/>
    </row>
    <row r="141" spans="1:28">
      <c r="A141" s="10" t="s">
        <v>664</v>
      </c>
      <c r="B141" s="11" t="s">
        <v>665</v>
      </c>
      <c r="C141" s="11" t="s">
        <v>501</v>
      </c>
      <c r="D141" s="11" t="s">
        <v>597</v>
      </c>
      <c r="E141" s="11" t="s">
        <v>666</v>
      </c>
      <c r="F141" s="4" t="s">
        <v>177</v>
      </c>
      <c r="G141" s="4" t="s">
        <v>501</v>
      </c>
      <c r="H141" s="5">
        <v>5.3</v>
      </c>
      <c r="I141" s="3" t="s">
        <v>667</v>
      </c>
      <c r="J141" s="3" t="s">
        <v>600</v>
      </c>
      <c r="K141" s="3" t="s">
        <v>37</v>
      </c>
      <c r="L141" s="3"/>
      <c r="M141" s="3"/>
      <c r="N141" s="3"/>
      <c r="O141" s="6">
        <v>1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3"/>
      <c r="W141" s="3"/>
      <c r="X141" s="7">
        <f>설정!$B$4*H141+설정!$B$5*O141*(1+설정!$B$9*(O141-1))+설정!$B$6*P141*(1+설정!$B$9*(P141-1))+설정!$B$7*Q141*(1+설정!$B$9*(Q141-1))+설정!$B$8*R141*(1+설정!$B$9*(R141-1))</f>
        <v>309</v>
      </c>
      <c r="Y141" s="7">
        <f>설정!$B$10*(O141*(1+설정!$B$9*(O141-1))+P141*(1+설정!$B$9*(P141-1)))</f>
        <v>15</v>
      </c>
      <c r="Z141" s="7">
        <f t="shared" si="2"/>
        <v>9.6999999999999993</v>
      </c>
      <c r="AA141" s="7">
        <f>X141*설정!$B$11</f>
        <v>30.900000000000002</v>
      </c>
      <c r="AB141" s="3"/>
    </row>
    <row r="142" spans="1:28">
      <c r="A142" s="3" t="s">
        <v>668</v>
      </c>
      <c r="B142" s="4" t="s">
        <v>669</v>
      </c>
      <c r="C142" s="4" t="s">
        <v>670</v>
      </c>
      <c r="D142" s="4" t="s">
        <v>31</v>
      </c>
      <c r="E142" s="4" t="s">
        <v>671</v>
      </c>
      <c r="F142" s="4" t="s">
        <v>362</v>
      </c>
      <c r="G142" s="4" t="s">
        <v>315</v>
      </c>
      <c r="H142" s="5">
        <v>86</v>
      </c>
      <c r="I142" s="3" t="s">
        <v>672</v>
      </c>
      <c r="J142" s="3" t="s">
        <v>36</v>
      </c>
      <c r="K142" s="3" t="s">
        <v>37</v>
      </c>
      <c r="L142" s="3"/>
      <c r="M142" s="3"/>
      <c r="N142" s="3"/>
      <c r="O142" s="6">
        <v>1</v>
      </c>
      <c r="P142" s="6">
        <v>0</v>
      </c>
      <c r="Q142" s="6">
        <v>2</v>
      </c>
      <c r="R142" s="6">
        <v>2</v>
      </c>
      <c r="S142" s="6">
        <v>0</v>
      </c>
      <c r="T142" s="6">
        <v>0</v>
      </c>
      <c r="U142" s="6">
        <v>0</v>
      </c>
      <c r="V142" s="3"/>
      <c r="W142" s="3"/>
      <c r="X142" s="7">
        <f>설정!$B$4*H142+설정!$B$5*O142*(1+설정!$B$9*(O142-1))+설정!$B$6*P142*(1+설정!$B$9*(P142-1))+설정!$B$7*Q142*(1+설정!$B$9*(Q142-1))+설정!$B$8*R142*(1+설정!$B$9*(R142-1))</f>
        <v>6570</v>
      </c>
      <c r="Y142" s="7">
        <f>설정!$B$10*(O142*(1+설정!$B$9*(O142-1))+P142*(1+설정!$B$9*(P142-1)))</f>
        <v>15</v>
      </c>
      <c r="Z142" s="7">
        <f t="shared" si="2"/>
        <v>-71</v>
      </c>
      <c r="AA142" s="7">
        <f>X142*설정!$B$11</f>
        <v>657</v>
      </c>
      <c r="AB142" s="3"/>
    </row>
    <row r="143" spans="1:28">
      <c r="A143" s="3" t="s">
        <v>673</v>
      </c>
      <c r="B143" s="4" t="s">
        <v>674</v>
      </c>
      <c r="C143" s="4" t="s">
        <v>670</v>
      </c>
      <c r="D143" s="4" t="s">
        <v>31</v>
      </c>
      <c r="E143" s="4" t="s">
        <v>675</v>
      </c>
      <c r="F143" s="4" t="s">
        <v>362</v>
      </c>
      <c r="G143" s="4" t="s">
        <v>315</v>
      </c>
      <c r="H143" s="5">
        <v>20.6</v>
      </c>
      <c r="I143" s="3" t="s">
        <v>676</v>
      </c>
      <c r="J143" s="3" t="s">
        <v>36</v>
      </c>
      <c r="K143" s="3" t="s">
        <v>37</v>
      </c>
      <c r="L143" s="3"/>
      <c r="M143" s="3"/>
      <c r="N143" s="3"/>
      <c r="O143" s="6">
        <v>2</v>
      </c>
      <c r="P143" s="6">
        <v>0</v>
      </c>
      <c r="Q143" s="6">
        <v>1</v>
      </c>
      <c r="R143" s="6">
        <v>1</v>
      </c>
      <c r="S143" s="6">
        <v>0</v>
      </c>
      <c r="T143" s="6">
        <v>0</v>
      </c>
      <c r="U143" s="6">
        <v>1</v>
      </c>
      <c r="V143" s="4" t="s">
        <v>677</v>
      </c>
      <c r="W143" s="4" t="s">
        <v>678</v>
      </c>
      <c r="X143" s="7">
        <f>설정!$B$4*H143+설정!$B$5*O143*(1+설정!$B$9*(O143-1))+설정!$B$6*P143*(1+설정!$B$9*(P143-1))+설정!$B$7*Q143*(1+설정!$B$9*(Q143-1))+설정!$B$8*R143*(1+설정!$B$9*(R143-1))</f>
        <v>2578</v>
      </c>
      <c r="Y143" s="7">
        <f>설정!$B$10*(O143*(1+설정!$B$9*(O143-1))+P143*(1+설정!$B$9*(P143-1)))</f>
        <v>36</v>
      </c>
      <c r="Z143" s="7">
        <f t="shared" si="2"/>
        <v>15.399999999999999</v>
      </c>
      <c r="AA143" s="7">
        <f>X143*설정!$B$11</f>
        <v>257.8</v>
      </c>
      <c r="AB143" s="3"/>
    </row>
    <row r="144" spans="1:28">
      <c r="A144" s="3" t="s">
        <v>679</v>
      </c>
      <c r="B144" s="4" t="s">
        <v>680</v>
      </c>
      <c r="C144" s="4" t="s">
        <v>670</v>
      </c>
      <c r="D144" s="4" t="s">
        <v>31</v>
      </c>
      <c r="E144" s="4" t="s">
        <v>681</v>
      </c>
      <c r="F144" s="4" t="s">
        <v>362</v>
      </c>
      <c r="G144" s="4" t="s">
        <v>315</v>
      </c>
      <c r="H144" s="5">
        <v>12.8</v>
      </c>
      <c r="I144" s="3" t="s">
        <v>682</v>
      </c>
      <c r="J144" s="3" t="s">
        <v>36</v>
      </c>
      <c r="K144" s="3" t="s">
        <v>37</v>
      </c>
      <c r="L144" s="3"/>
      <c r="M144" s="3"/>
      <c r="N144" s="3"/>
      <c r="O144" s="6">
        <v>1</v>
      </c>
      <c r="P144" s="6">
        <v>0</v>
      </c>
      <c r="Q144" s="6">
        <v>1</v>
      </c>
      <c r="R144" s="6">
        <v>1</v>
      </c>
      <c r="S144" s="6">
        <v>0</v>
      </c>
      <c r="T144" s="6">
        <v>0</v>
      </c>
      <c r="U144" s="6">
        <v>0</v>
      </c>
      <c r="V144" s="3"/>
      <c r="W144" s="4" t="s">
        <v>683</v>
      </c>
      <c r="X144" s="7">
        <f>설정!$B$4*H144+설정!$B$5*O144*(1+설정!$B$9*(O144-1))+설정!$B$6*P144*(1+설정!$B$9*(P144-1))+설정!$B$7*Q144*(1+설정!$B$9*(Q144-1))+설정!$B$8*R144*(1+설정!$B$9*(R144-1))</f>
        <v>2134</v>
      </c>
      <c r="Y144" s="7">
        <f>설정!$B$10*(O144*(1+설정!$B$9*(O144-1))+P144*(1+설정!$B$9*(P144-1)))</f>
        <v>15</v>
      </c>
      <c r="Z144" s="7">
        <f t="shared" si="2"/>
        <v>2.1999999999999993</v>
      </c>
      <c r="AA144" s="7">
        <f>X144*설정!$B$11</f>
        <v>213.4</v>
      </c>
      <c r="AB144" s="3"/>
    </row>
    <row r="145" spans="1:28">
      <c r="A145" s="3" t="s">
        <v>684</v>
      </c>
      <c r="B145" s="4" t="s">
        <v>685</v>
      </c>
      <c r="C145" s="4" t="s">
        <v>670</v>
      </c>
      <c r="D145" s="4" t="s">
        <v>31</v>
      </c>
      <c r="E145" s="4" t="s">
        <v>686</v>
      </c>
      <c r="F145" s="4" t="s">
        <v>177</v>
      </c>
      <c r="G145" s="4" t="s">
        <v>315</v>
      </c>
      <c r="H145" s="5">
        <v>9.6</v>
      </c>
      <c r="I145" s="3" t="s">
        <v>687</v>
      </c>
      <c r="J145" s="3" t="s">
        <v>36</v>
      </c>
      <c r="K145" s="3" t="s">
        <v>37</v>
      </c>
      <c r="L145" s="3"/>
      <c r="M145" s="3"/>
      <c r="N145" s="3"/>
      <c r="O145" s="6">
        <v>2</v>
      </c>
      <c r="P145" s="6">
        <v>0</v>
      </c>
      <c r="Q145" s="6">
        <v>1</v>
      </c>
      <c r="R145" s="6">
        <v>1</v>
      </c>
      <c r="S145" s="6">
        <v>0</v>
      </c>
      <c r="T145" s="6">
        <v>0</v>
      </c>
      <c r="U145" s="6">
        <v>0</v>
      </c>
      <c r="V145" s="3"/>
      <c r="W145" s="4" t="s">
        <v>688</v>
      </c>
      <c r="X145" s="7">
        <f>설정!$B$4*H145+설정!$B$5*O145*(1+설정!$B$9*(O145-1))+설정!$B$6*P145*(1+설정!$B$9*(P145-1))+설정!$B$7*Q145*(1+설정!$B$9*(Q145-1))+설정!$B$8*R145*(1+설정!$B$9*(R145-1))</f>
        <v>2248</v>
      </c>
      <c r="Y145" s="7">
        <f>설정!$B$10*(O145*(1+설정!$B$9*(O145-1))+P145*(1+설정!$B$9*(P145-1)))</f>
        <v>36</v>
      </c>
      <c r="Z145" s="7">
        <f t="shared" si="2"/>
        <v>26.4</v>
      </c>
      <c r="AA145" s="7">
        <f>X145*설정!$B$11</f>
        <v>224.8</v>
      </c>
      <c r="AB145" s="3"/>
    </row>
    <row r="146" spans="1:28">
      <c r="A146" s="3" t="s">
        <v>689</v>
      </c>
      <c r="B146" s="4" t="s">
        <v>690</v>
      </c>
      <c r="C146" s="4" t="s">
        <v>670</v>
      </c>
      <c r="D146" s="4" t="s">
        <v>31</v>
      </c>
      <c r="E146" s="4" t="s">
        <v>691</v>
      </c>
      <c r="F146" s="4" t="s">
        <v>177</v>
      </c>
      <c r="G146" s="4" t="s">
        <v>315</v>
      </c>
      <c r="H146" s="5">
        <v>8.6</v>
      </c>
      <c r="I146" s="3" t="s">
        <v>692</v>
      </c>
      <c r="J146" s="3" t="s">
        <v>36</v>
      </c>
      <c r="K146" s="3" t="s">
        <v>37</v>
      </c>
      <c r="L146" s="3"/>
      <c r="M146" s="3"/>
      <c r="N146" s="3"/>
      <c r="O146" s="6">
        <v>2</v>
      </c>
      <c r="P146" s="6">
        <v>0</v>
      </c>
      <c r="Q146" s="6">
        <v>1</v>
      </c>
      <c r="R146" s="6">
        <v>1</v>
      </c>
      <c r="S146" s="6">
        <v>0</v>
      </c>
      <c r="T146" s="6">
        <v>0</v>
      </c>
      <c r="U146" s="6">
        <v>0</v>
      </c>
      <c r="V146" s="3"/>
      <c r="W146" s="4" t="s">
        <v>693</v>
      </c>
      <c r="X146" s="7">
        <f>설정!$B$4*H146+설정!$B$5*O146*(1+설정!$B$9*(O146-1))+설정!$B$6*P146*(1+설정!$B$9*(P146-1))+설정!$B$7*Q146*(1+설정!$B$9*(Q146-1))+설정!$B$8*R146*(1+설정!$B$9*(R146-1))</f>
        <v>2218</v>
      </c>
      <c r="Y146" s="7">
        <f>설정!$B$10*(O146*(1+설정!$B$9*(O146-1))+P146*(1+설정!$B$9*(P146-1)))</f>
        <v>36</v>
      </c>
      <c r="Z146" s="7">
        <f t="shared" si="2"/>
        <v>27.4</v>
      </c>
      <c r="AA146" s="7">
        <f>X146*설정!$B$11</f>
        <v>221.8</v>
      </c>
      <c r="AB146" s="3"/>
    </row>
    <row r="147" spans="1:28">
      <c r="A147" s="3" t="s">
        <v>694</v>
      </c>
      <c r="B147" s="4" t="s">
        <v>695</v>
      </c>
      <c r="C147" s="4" t="s">
        <v>670</v>
      </c>
      <c r="D147" s="4" t="s">
        <v>31</v>
      </c>
      <c r="E147" s="4" t="s">
        <v>696</v>
      </c>
      <c r="F147" s="4" t="s">
        <v>177</v>
      </c>
      <c r="G147" s="4" t="s">
        <v>315</v>
      </c>
      <c r="H147" s="5">
        <v>5.0999999999999996</v>
      </c>
      <c r="I147" s="3" t="s">
        <v>697</v>
      </c>
      <c r="J147" s="3" t="s">
        <v>36</v>
      </c>
      <c r="K147" s="3" t="s">
        <v>37</v>
      </c>
      <c r="L147" s="3"/>
      <c r="M147" s="3"/>
      <c r="N147" s="3"/>
      <c r="O147" s="6">
        <v>1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3"/>
      <c r="W147" s="4" t="s">
        <v>698</v>
      </c>
      <c r="X147" s="7">
        <f>설정!$B$4*H147+설정!$B$5*O147*(1+설정!$B$9*(O147-1))+설정!$B$6*P147*(1+설정!$B$9*(P147-1))+설정!$B$7*Q147*(1+설정!$B$9*(Q147-1))+설정!$B$8*R147*(1+설정!$B$9*(R147-1))</f>
        <v>303</v>
      </c>
      <c r="Y147" s="7">
        <f>설정!$B$10*(O147*(1+설정!$B$9*(O147-1))+P147*(1+설정!$B$9*(P147-1)))</f>
        <v>15</v>
      </c>
      <c r="Z147" s="7">
        <f t="shared" si="2"/>
        <v>9.9</v>
      </c>
      <c r="AA147" s="7">
        <f>X147*설정!$B$11</f>
        <v>30.3</v>
      </c>
      <c r="AB147" s="3"/>
    </row>
    <row r="148" spans="1:28">
      <c r="A148" s="3" t="s">
        <v>699</v>
      </c>
      <c r="B148" s="4" t="s">
        <v>700</v>
      </c>
      <c r="C148" s="4" t="s">
        <v>670</v>
      </c>
      <c r="D148" s="4" t="s">
        <v>31</v>
      </c>
      <c r="E148" s="4" t="s">
        <v>701</v>
      </c>
      <c r="F148" s="4" t="s">
        <v>177</v>
      </c>
      <c r="G148" s="4" t="s">
        <v>315</v>
      </c>
      <c r="H148" s="5">
        <v>4.3</v>
      </c>
      <c r="I148" s="3" t="s">
        <v>702</v>
      </c>
      <c r="J148" s="3" t="s">
        <v>36</v>
      </c>
      <c r="K148" s="3" t="s">
        <v>37</v>
      </c>
      <c r="L148" s="3"/>
      <c r="M148" s="3"/>
      <c r="N148" s="3"/>
      <c r="O148" s="6">
        <v>1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3"/>
      <c r="W148" s="4" t="s">
        <v>703</v>
      </c>
      <c r="X148" s="7">
        <f>설정!$B$4*H148+설정!$B$5*O148*(1+설정!$B$9*(O148-1))+설정!$B$6*P148*(1+설정!$B$9*(P148-1))+설정!$B$7*Q148*(1+설정!$B$9*(Q148-1))+설정!$B$8*R148*(1+설정!$B$9*(R148-1))</f>
        <v>279</v>
      </c>
      <c r="Y148" s="7">
        <f>설정!$B$10*(O148*(1+설정!$B$9*(O148-1))+P148*(1+설정!$B$9*(P148-1)))</f>
        <v>15</v>
      </c>
      <c r="Z148" s="7">
        <f t="shared" si="2"/>
        <v>10.7</v>
      </c>
      <c r="AA148" s="7">
        <f>X148*설정!$B$11</f>
        <v>27.900000000000002</v>
      </c>
      <c r="AB148" s="3"/>
    </row>
    <row r="149" spans="1:28">
      <c r="A149" s="3" t="s">
        <v>704</v>
      </c>
      <c r="B149" s="4" t="s">
        <v>705</v>
      </c>
      <c r="C149" s="4" t="s">
        <v>670</v>
      </c>
      <c r="D149" s="4" t="s">
        <v>31</v>
      </c>
      <c r="E149" s="4" t="s">
        <v>706</v>
      </c>
      <c r="F149" s="4" t="s">
        <v>177</v>
      </c>
      <c r="G149" s="4" t="s">
        <v>315</v>
      </c>
      <c r="H149" s="5">
        <v>3.7</v>
      </c>
      <c r="I149" s="3" t="s">
        <v>707</v>
      </c>
      <c r="J149" s="3" t="s">
        <v>36</v>
      </c>
      <c r="K149" s="3" t="s">
        <v>37</v>
      </c>
      <c r="L149" s="3"/>
      <c r="M149" s="3"/>
      <c r="N149" s="3"/>
      <c r="O149" s="6">
        <v>2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3"/>
      <c r="W149" s="4" t="s">
        <v>708</v>
      </c>
      <c r="X149" s="7">
        <f>설정!$B$4*H149+설정!$B$5*O149*(1+설정!$B$9*(O149-1))+설정!$B$6*P149*(1+설정!$B$9*(P149-1))+설정!$B$7*Q149*(1+설정!$B$9*(Q149-1))+설정!$B$8*R149*(1+설정!$B$9*(R149-1))</f>
        <v>471</v>
      </c>
      <c r="Y149" s="7">
        <f>설정!$B$10*(O149*(1+설정!$B$9*(O149-1))+P149*(1+설정!$B$9*(P149-1)))</f>
        <v>36</v>
      </c>
      <c r="Z149" s="7">
        <f t="shared" si="2"/>
        <v>32.299999999999997</v>
      </c>
      <c r="AA149" s="7">
        <f>X149*설정!$B$11</f>
        <v>47.1</v>
      </c>
      <c r="AB149" s="3"/>
    </row>
    <row r="150" spans="1:28">
      <c r="A150" s="3" t="s">
        <v>709</v>
      </c>
      <c r="B150" s="4" t="s">
        <v>710</v>
      </c>
      <c r="C150" s="4" t="s">
        <v>670</v>
      </c>
      <c r="D150" s="4" t="s">
        <v>31</v>
      </c>
      <c r="E150" s="4" t="s">
        <v>711</v>
      </c>
      <c r="F150" s="4" t="s">
        <v>177</v>
      </c>
      <c r="G150" s="4" t="s">
        <v>315</v>
      </c>
      <c r="H150" s="5">
        <v>3.7</v>
      </c>
      <c r="I150" s="3" t="s">
        <v>712</v>
      </c>
      <c r="J150" s="3" t="s">
        <v>36</v>
      </c>
      <c r="K150" s="3" t="s">
        <v>37</v>
      </c>
      <c r="L150" s="3"/>
      <c r="M150" s="3"/>
      <c r="N150" s="3"/>
      <c r="O150" s="6">
        <v>1</v>
      </c>
      <c r="P150" s="6">
        <v>0</v>
      </c>
      <c r="Q150" s="6">
        <v>1</v>
      </c>
      <c r="R150" s="6">
        <v>0</v>
      </c>
      <c r="S150" s="6">
        <v>0</v>
      </c>
      <c r="T150" s="6">
        <v>0</v>
      </c>
      <c r="U150" s="6">
        <v>0</v>
      </c>
      <c r="V150" s="3"/>
      <c r="W150" s="3"/>
      <c r="X150" s="7">
        <f>설정!$B$4*H150+설정!$B$5*O150*(1+설정!$B$9*(O150-1))+설정!$B$6*P150*(1+설정!$B$9*(P150-1))+설정!$B$7*Q150*(1+설정!$B$9*(Q150-1))+설정!$B$8*R150*(1+설정!$B$9*(R150-1))</f>
        <v>1261</v>
      </c>
      <c r="Y150" s="7">
        <f>설정!$B$10*(O150*(1+설정!$B$9*(O150-1))+P150*(1+설정!$B$9*(P150-1)))</f>
        <v>15</v>
      </c>
      <c r="Z150" s="7">
        <f t="shared" si="2"/>
        <v>11.3</v>
      </c>
      <c r="AA150" s="7">
        <f>X150*설정!$B$11</f>
        <v>126.10000000000001</v>
      </c>
      <c r="AB150" s="3"/>
    </row>
    <row r="151" spans="1:28">
      <c r="A151" s="3" t="s">
        <v>713</v>
      </c>
      <c r="B151" s="4" t="s">
        <v>714</v>
      </c>
      <c r="C151" s="4" t="s">
        <v>670</v>
      </c>
      <c r="D151" s="4" t="s">
        <v>31</v>
      </c>
      <c r="E151" s="4" t="s">
        <v>715</v>
      </c>
      <c r="F151" s="4" t="s">
        <v>177</v>
      </c>
      <c r="G151" s="4" t="s">
        <v>315</v>
      </c>
      <c r="H151" s="5">
        <v>3.2</v>
      </c>
      <c r="I151" s="3" t="s">
        <v>716</v>
      </c>
      <c r="J151" s="3" t="s">
        <v>36</v>
      </c>
      <c r="K151" s="3" t="s">
        <v>37</v>
      </c>
      <c r="L151" s="3"/>
      <c r="M151" s="3"/>
      <c r="N151" s="3"/>
      <c r="O151" s="6">
        <v>1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3"/>
      <c r="W151" s="4" t="s">
        <v>717</v>
      </c>
      <c r="X151" s="7">
        <f>설정!$B$4*H151+설정!$B$5*O151*(1+설정!$B$9*(O151-1))+설정!$B$6*P151*(1+설정!$B$9*(P151-1))+설정!$B$7*Q151*(1+설정!$B$9*(Q151-1))+설정!$B$8*R151*(1+설정!$B$9*(R151-1))</f>
        <v>246</v>
      </c>
      <c r="Y151" s="7">
        <f>설정!$B$10*(O151*(1+설정!$B$9*(O151-1))+P151*(1+설정!$B$9*(P151-1)))</f>
        <v>15</v>
      </c>
      <c r="Z151" s="7">
        <f t="shared" si="2"/>
        <v>11.8</v>
      </c>
      <c r="AA151" s="7">
        <f>X151*설정!$B$11</f>
        <v>24.6</v>
      </c>
      <c r="AB151" s="3"/>
    </row>
    <row r="152" spans="1:28">
      <c r="A152" s="3" t="s">
        <v>718</v>
      </c>
      <c r="B152" s="4" t="s">
        <v>719</v>
      </c>
      <c r="C152" s="4" t="s">
        <v>670</v>
      </c>
      <c r="D152" s="4" t="s">
        <v>31</v>
      </c>
      <c r="E152" s="4" t="s">
        <v>720</v>
      </c>
      <c r="F152" s="4" t="s">
        <v>177</v>
      </c>
      <c r="G152" s="4" t="s">
        <v>315</v>
      </c>
      <c r="H152" s="5">
        <v>2.6</v>
      </c>
      <c r="I152" s="3" t="s">
        <v>721</v>
      </c>
      <c r="J152" s="3" t="s">
        <v>36</v>
      </c>
      <c r="K152" s="3" t="s">
        <v>37</v>
      </c>
      <c r="L152" s="3"/>
      <c r="M152" s="3"/>
      <c r="N152" s="3"/>
      <c r="O152" s="6">
        <v>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3"/>
      <c r="W152" s="4" t="s">
        <v>722</v>
      </c>
      <c r="X152" s="7">
        <f>설정!$B$4*H152+설정!$B$5*O152*(1+설정!$B$9*(O152-1))+설정!$B$6*P152*(1+설정!$B$9*(P152-1))+설정!$B$7*Q152*(1+설정!$B$9*(Q152-1))+설정!$B$8*R152*(1+설정!$B$9*(R152-1))</f>
        <v>228</v>
      </c>
      <c r="Y152" s="7">
        <f>설정!$B$10*(O152*(1+설정!$B$9*(O152-1))+P152*(1+설정!$B$9*(P152-1)))</f>
        <v>15</v>
      </c>
      <c r="Z152" s="7">
        <f t="shared" si="2"/>
        <v>12.4</v>
      </c>
      <c r="AA152" s="7">
        <f>X152*설정!$B$11</f>
        <v>22.8</v>
      </c>
      <c r="AB152" s="3"/>
    </row>
    <row r="153" spans="1:28">
      <c r="A153" s="3" t="s">
        <v>723</v>
      </c>
      <c r="B153" s="4" t="s">
        <v>724</v>
      </c>
      <c r="C153" s="4" t="s">
        <v>725</v>
      </c>
      <c r="D153" s="4" t="s">
        <v>31</v>
      </c>
      <c r="E153" s="4" t="s">
        <v>726</v>
      </c>
      <c r="F153" s="4" t="s">
        <v>362</v>
      </c>
      <c r="G153" s="4" t="s">
        <v>315</v>
      </c>
      <c r="H153" s="5">
        <v>66.7</v>
      </c>
      <c r="I153" s="3" t="s">
        <v>727</v>
      </c>
      <c r="J153" s="3" t="s">
        <v>36</v>
      </c>
      <c r="K153" s="3" t="s">
        <v>37</v>
      </c>
      <c r="L153" s="3"/>
      <c r="M153" s="3"/>
      <c r="N153" s="3"/>
      <c r="O153" s="6">
        <v>1</v>
      </c>
      <c r="P153" s="6">
        <v>0</v>
      </c>
      <c r="Q153" s="6">
        <v>2</v>
      </c>
      <c r="R153" s="6">
        <v>2</v>
      </c>
      <c r="S153" s="6">
        <v>0</v>
      </c>
      <c r="T153" s="6">
        <v>0</v>
      </c>
      <c r="U153" s="6">
        <v>0</v>
      </c>
      <c r="V153" s="3"/>
      <c r="W153" s="4" t="s">
        <v>728</v>
      </c>
      <c r="X153" s="7">
        <f>설정!$B$4*H153+설정!$B$5*O153*(1+설정!$B$9*(O153-1))+설정!$B$6*P153*(1+설정!$B$9*(P153-1))+설정!$B$7*Q153*(1+설정!$B$9*(Q153-1))+설정!$B$8*R153*(1+설정!$B$9*(R153-1))</f>
        <v>5991</v>
      </c>
      <c r="Y153" s="7">
        <f>설정!$B$10*(O153*(1+설정!$B$9*(O153-1))+P153*(1+설정!$B$9*(P153-1)))</f>
        <v>15</v>
      </c>
      <c r="Z153" s="7">
        <f t="shared" si="2"/>
        <v>-51.7</v>
      </c>
      <c r="AA153" s="7">
        <f>X153*설정!$B$11</f>
        <v>599.1</v>
      </c>
      <c r="AB153" s="3"/>
    </row>
    <row r="154" spans="1:28">
      <c r="A154" s="3" t="s">
        <v>729</v>
      </c>
      <c r="B154" s="4" t="s">
        <v>730</v>
      </c>
      <c r="C154" s="4" t="s">
        <v>725</v>
      </c>
      <c r="D154" s="4" t="s">
        <v>31</v>
      </c>
      <c r="E154" s="4" t="s">
        <v>731</v>
      </c>
      <c r="F154" s="4" t="s">
        <v>362</v>
      </c>
      <c r="G154" s="4" t="s">
        <v>315</v>
      </c>
      <c r="H154" s="5">
        <v>36.5</v>
      </c>
      <c r="I154" s="3" t="s">
        <v>732</v>
      </c>
      <c r="J154" s="3" t="s">
        <v>36</v>
      </c>
      <c r="K154" s="3" t="s">
        <v>140</v>
      </c>
      <c r="L154" s="4" t="s">
        <v>254</v>
      </c>
      <c r="M154" s="3"/>
      <c r="N154" s="3"/>
      <c r="O154" s="6">
        <v>1</v>
      </c>
      <c r="P154" s="6">
        <v>0</v>
      </c>
      <c r="Q154" s="6">
        <v>2</v>
      </c>
      <c r="R154" s="6">
        <v>1</v>
      </c>
      <c r="S154" s="6">
        <v>0</v>
      </c>
      <c r="T154" s="6">
        <v>0</v>
      </c>
      <c r="U154" s="6">
        <v>0</v>
      </c>
      <c r="V154" s="3"/>
      <c r="W154" s="3"/>
      <c r="X154" s="7">
        <f>설정!$B$4*H154+설정!$B$5*O154*(1+설정!$B$9*(O154-1))+설정!$B$6*P154*(1+설정!$B$9*(P154-1))+설정!$B$7*Q154*(1+설정!$B$9*(Q154-1))+설정!$B$8*R154*(1+설정!$B$9*(R154-1))</f>
        <v>4245</v>
      </c>
      <c r="Y154" s="7">
        <f>설정!$B$10*(O154*(1+설정!$B$9*(O154-1))+P154*(1+설정!$B$9*(P154-1)))</f>
        <v>15</v>
      </c>
      <c r="Z154" s="7">
        <f t="shared" si="2"/>
        <v>-21.5</v>
      </c>
      <c r="AA154" s="7">
        <f>X154*설정!$B$11</f>
        <v>424.5</v>
      </c>
      <c r="AB154" s="3"/>
    </row>
    <row r="155" spans="1:28">
      <c r="A155" s="3" t="s">
        <v>733</v>
      </c>
      <c r="B155" s="4" t="s">
        <v>734</v>
      </c>
      <c r="C155" s="4" t="s">
        <v>725</v>
      </c>
      <c r="D155" s="4" t="s">
        <v>31</v>
      </c>
      <c r="E155" s="4" t="s">
        <v>735</v>
      </c>
      <c r="F155" s="4" t="s">
        <v>362</v>
      </c>
      <c r="G155" s="4" t="s">
        <v>315</v>
      </c>
      <c r="H155" s="5">
        <v>17.2</v>
      </c>
      <c r="I155" s="3" t="s">
        <v>736</v>
      </c>
      <c r="J155" s="3" t="s">
        <v>36</v>
      </c>
      <c r="K155" s="3" t="s">
        <v>140</v>
      </c>
      <c r="L155" s="4" t="s">
        <v>254</v>
      </c>
      <c r="M155" s="3"/>
      <c r="N155" s="3"/>
      <c r="O155" s="6">
        <v>2</v>
      </c>
      <c r="P155" s="6">
        <v>1</v>
      </c>
      <c r="Q155" s="6">
        <v>2</v>
      </c>
      <c r="R155" s="6">
        <v>1</v>
      </c>
      <c r="S155" s="6">
        <v>0</v>
      </c>
      <c r="T155" s="6">
        <v>0</v>
      </c>
      <c r="U155" s="6">
        <v>0</v>
      </c>
      <c r="V155" s="4" t="s">
        <v>737</v>
      </c>
      <c r="W155" s="4" t="s">
        <v>738</v>
      </c>
      <c r="X155" s="7">
        <f>설정!$B$4*H155+설정!$B$5*O155*(1+설정!$B$9*(O155-1))+설정!$B$6*P155*(1+설정!$B$9*(P155-1))+설정!$B$7*Q155*(1+설정!$B$9*(Q155-1))+설정!$B$8*R155*(1+설정!$B$9*(R155-1))</f>
        <v>4026</v>
      </c>
      <c r="Y155" s="7">
        <f>설정!$B$10*(O155*(1+설정!$B$9*(O155-1))+P155*(1+설정!$B$9*(P155-1)))</f>
        <v>51</v>
      </c>
      <c r="Z155" s="7">
        <f t="shared" si="2"/>
        <v>33.799999999999997</v>
      </c>
      <c r="AA155" s="7">
        <f>X155*설정!$B$11</f>
        <v>402.6</v>
      </c>
      <c r="AB155" s="3"/>
    </row>
    <row r="156" spans="1:28">
      <c r="A156" s="3" t="s">
        <v>739</v>
      </c>
      <c r="B156" s="4" t="s">
        <v>740</v>
      </c>
      <c r="C156" s="4" t="s">
        <v>725</v>
      </c>
      <c r="D156" s="4" t="s">
        <v>31</v>
      </c>
      <c r="E156" s="4" t="s">
        <v>741</v>
      </c>
      <c r="F156" s="4" t="s">
        <v>362</v>
      </c>
      <c r="G156" s="4" t="s">
        <v>315</v>
      </c>
      <c r="H156" s="5">
        <v>17.100000000000001</v>
      </c>
      <c r="I156" s="3" t="s">
        <v>742</v>
      </c>
      <c r="J156" s="3" t="s">
        <v>36</v>
      </c>
      <c r="K156" s="3" t="s">
        <v>140</v>
      </c>
      <c r="L156" s="4" t="s">
        <v>254</v>
      </c>
      <c r="M156" s="3"/>
      <c r="N156" s="3"/>
      <c r="O156" s="6">
        <v>2</v>
      </c>
      <c r="P156" s="6">
        <v>1</v>
      </c>
      <c r="Q156" s="6">
        <v>2</v>
      </c>
      <c r="R156" s="6">
        <v>1</v>
      </c>
      <c r="S156" s="6">
        <v>1</v>
      </c>
      <c r="T156" s="6">
        <v>0</v>
      </c>
      <c r="U156" s="6">
        <v>0</v>
      </c>
      <c r="V156" s="3"/>
      <c r="W156" s="4" t="s">
        <v>743</v>
      </c>
      <c r="X156" s="7">
        <f>설정!$B$4*H156+설정!$B$5*O156*(1+설정!$B$9*(O156-1))+설정!$B$6*P156*(1+설정!$B$9*(P156-1))+설정!$B$7*Q156*(1+설정!$B$9*(Q156-1))+설정!$B$8*R156*(1+설정!$B$9*(R156-1))</f>
        <v>4023</v>
      </c>
      <c r="Y156" s="7">
        <f>설정!$B$10*(O156*(1+설정!$B$9*(O156-1))+P156*(1+설정!$B$9*(P156-1)))</f>
        <v>51</v>
      </c>
      <c r="Z156" s="7">
        <f t="shared" si="2"/>
        <v>33.9</v>
      </c>
      <c r="AA156" s="7">
        <f>X156*설정!$B$11</f>
        <v>402.3</v>
      </c>
      <c r="AB156" s="3" t="s">
        <v>744</v>
      </c>
    </row>
    <row r="157" spans="1:28">
      <c r="A157" s="3" t="s">
        <v>745</v>
      </c>
      <c r="B157" s="4" t="s">
        <v>746</v>
      </c>
      <c r="C157" s="4" t="s">
        <v>725</v>
      </c>
      <c r="D157" s="4" t="s">
        <v>31</v>
      </c>
      <c r="E157" s="4" t="s">
        <v>747</v>
      </c>
      <c r="F157" s="4" t="s">
        <v>362</v>
      </c>
      <c r="G157" s="4" t="s">
        <v>315</v>
      </c>
      <c r="H157" s="5">
        <v>10.6</v>
      </c>
      <c r="I157" s="3" t="s">
        <v>748</v>
      </c>
      <c r="J157" s="3" t="s">
        <v>36</v>
      </c>
      <c r="K157" s="3" t="s">
        <v>37</v>
      </c>
      <c r="L157" s="3"/>
      <c r="M157" s="3"/>
      <c r="N157" s="3"/>
      <c r="O157" s="6">
        <v>2</v>
      </c>
      <c r="P157" s="6">
        <v>0</v>
      </c>
      <c r="Q157" s="6">
        <v>0</v>
      </c>
      <c r="R157" s="6">
        <v>1</v>
      </c>
      <c r="S157" s="6">
        <v>0</v>
      </c>
      <c r="T157" s="6">
        <v>0</v>
      </c>
      <c r="U157" s="6">
        <v>0</v>
      </c>
      <c r="V157" s="3"/>
      <c r="W157" s="4" t="s">
        <v>749</v>
      </c>
      <c r="X157" s="7">
        <f>설정!$B$4*H157+설정!$B$5*O157*(1+설정!$B$9*(O157-1))+설정!$B$6*P157*(1+설정!$B$9*(P157-1))+설정!$B$7*Q157*(1+설정!$B$9*(Q157-1))+설정!$B$8*R157*(1+설정!$B$9*(R157-1))</f>
        <v>1278</v>
      </c>
      <c r="Y157" s="7">
        <f>설정!$B$10*(O157*(1+설정!$B$9*(O157-1))+P157*(1+설정!$B$9*(P157-1)))</f>
        <v>36</v>
      </c>
      <c r="Z157" s="7">
        <f t="shared" si="2"/>
        <v>25.4</v>
      </c>
      <c r="AA157" s="7">
        <f>X157*설정!$B$11</f>
        <v>127.80000000000001</v>
      </c>
      <c r="AB157" s="3"/>
    </row>
    <row r="158" spans="1:28">
      <c r="A158" s="3" t="s">
        <v>750</v>
      </c>
      <c r="B158" s="4" t="s">
        <v>751</v>
      </c>
      <c r="C158" s="4" t="s">
        <v>725</v>
      </c>
      <c r="D158" s="4" t="s">
        <v>31</v>
      </c>
      <c r="E158" s="4" t="s">
        <v>752</v>
      </c>
      <c r="F158" s="4" t="s">
        <v>177</v>
      </c>
      <c r="G158" s="4" t="s">
        <v>315</v>
      </c>
      <c r="H158" s="5">
        <v>10.199999999999999</v>
      </c>
      <c r="I158" s="3" t="s">
        <v>753</v>
      </c>
      <c r="J158" s="3" t="s">
        <v>36</v>
      </c>
      <c r="K158" s="3" t="s">
        <v>140</v>
      </c>
      <c r="L158" s="4" t="s">
        <v>254</v>
      </c>
      <c r="M158" s="3"/>
      <c r="N158" s="3"/>
      <c r="O158" s="6">
        <v>2</v>
      </c>
      <c r="P158" s="6">
        <v>1</v>
      </c>
      <c r="Q158" s="6">
        <v>1</v>
      </c>
      <c r="R158" s="6">
        <v>1</v>
      </c>
      <c r="S158" s="6">
        <v>0</v>
      </c>
      <c r="T158" s="6">
        <v>0</v>
      </c>
      <c r="U158" s="6">
        <v>0</v>
      </c>
      <c r="V158" s="3"/>
      <c r="W158" s="4" t="s">
        <v>754</v>
      </c>
      <c r="X158" s="7">
        <f>설정!$B$4*H158+설정!$B$5*O158*(1+설정!$B$9*(O158-1))+설정!$B$6*P158*(1+설정!$B$9*(P158-1))+설정!$B$7*Q158*(1+설정!$B$9*(Q158-1))+설정!$B$8*R158*(1+설정!$B$9*(R158-1))</f>
        <v>2416</v>
      </c>
      <c r="Y158" s="7">
        <f>설정!$B$10*(O158*(1+설정!$B$9*(O158-1))+P158*(1+설정!$B$9*(P158-1)))</f>
        <v>51</v>
      </c>
      <c r="Z158" s="7">
        <f t="shared" si="2"/>
        <v>40.799999999999997</v>
      </c>
      <c r="AA158" s="7">
        <f>X158*설정!$B$11</f>
        <v>241.60000000000002</v>
      </c>
      <c r="AB158" s="3"/>
    </row>
    <row r="159" spans="1:28">
      <c r="A159" s="3" t="s">
        <v>755</v>
      </c>
      <c r="B159" s="4" t="s">
        <v>756</v>
      </c>
      <c r="C159" s="4" t="s">
        <v>725</v>
      </c>
      <c r="D159" s="4" t="s">
        <v>31</v>
      </c>
      <c r="E159" s="4" t="s">
        <v>757</v>
      </c>
      <c r="F159" s="4" t="s">
        <v>362</v>
      </c>
      <c r="G159" s="4" t="s">
        <v>315</v>
      </c>
      <c r="H159" s="5">
        <v>9.9</v>
      </c>
      <c r="I159" s="3" t="s">
        <v>758</v>
      </c>
      <c r="J159" s="3" t="s">
        <v>36</v>
      </c>
      <c r="K159" s="3" t="s">
        <v>37</v>
      </c>
      <c r="L159" s="3"/>
      <c r="M159" s="3"/>
      <c r="N159" s="3"/>
      <c r="O159" s="6">
        <v>2</v>
      </c>
      <c r="P159" s="6">
        <v>0</v>
      </c>
      <c r="Q159" s="6">
        <v>0</v>
      </c>
      <c r="R159" s="6">
        <v>1</v>
      </c>
      <c r="S159" s="6">
        <v>0</v>
      </c>
      <c r="T159" s="6">
        <v>0</v>
      </c>
      <c r="U159" s="6">
        <v>0</v>
      </c>
      <c r="V159" s="3"/>
      <c r="W159" s="4" t="s">
        <v>759</v>
      </c>
      <c r="X159" s="7">
        <f>설정!$B$4*H159+설정!$B$5*O159*(1+설정!$B$9*(O159-1))+설정!$B$6*P159*(1+설정!$B$9*(P159-1))+설정!$B$7*Q159*(1+설정!$B$9*(Q159-1))+설정!$B$8*R159*(1+설정!$B$9*(R159-1))</f>
        <v>1257</v>
      </c>
      <c r="Y159" s="7">
        <f>설정!$B$10*(O159*(1+설정!$B$9*(O159-1))+P159*(1+설정!$B$9*(P159-1)))</f>
        <v>36</v>
      </c>
      <c r="Z159" s="7">
        <f t="shared" si="2"/>
        <v>26.1</v>
      </c>
      <c r="AA159" s="7">
        <f>X159*설정!$B$11</f>
        <v>125.7</v>
      </c>
      <c r="AB159" s="3"/>
    </row>
    <row r="160" spans="1:28">
      <c r="A160" s="3" t="s">
        <v>760</v>
      </c>
      <c r="B160" s="4" t="s">
        <v>761</v>
      </c>
      <c r="C160" s="4" t="s">
        <v>725</v>
      </c>
      <c r="D160" s="4" t="s">
        <v>31</v>
      </c>
      <c r="E160" s="4" t="s">
        <v>762</v>
      </c>
      <c r="F160" s="4" t="s">
        <v>362</v>
      </c>
      <c r="G160" s="4" t="s">
        <v>315</v>
      </c>
      <c r="H160" s="5">
        <v>9.1</v>
      </c>
      <c r="I160" s="3" t="s">
        <v>763</v>
      </c>
      <c r="J160" s="3" t="s">
        <v>36</v>
      </c>
      <c r="K160" s="3" t="s">
        <v>140</v>
      </c>
      <c r="L160" s="4" t="s">
        <v>254</v>
      </c>
      <c r="M160" s="3"/>
      <c r="N160" s="3"/>
      <c r="O160" s="6">
        <v>1</v>
      </c>
      <c r="P160" s="6">
        <v>2</v>
      </c>
      <c r="Q160" s="6">
        <v>1</v>
      </c>
      <c r="R160" s="6">
        <v>1</v>
      </c>
      <c r="S160" s="6">
        <v>0</v>
      </c>
      <c r="T160" s="6">
        <v>1</v>
      </c>
      <c r="U160" s="6">
        <v>0</v>
      </c>
      <c r="V160" s="4" t="s">
        <v>764</v>
      </c>
      <c r="W160" s="4" t="s">
        <v>765</v>
      </c>
      <c r="X160" s="7">
        <f>설정!$B$4*H160+설정!$B$5*O160*(1+설정!$B$9*(O160-1))+설정!$B$6*P160*(1+설정!$B$9*(P160-1))+설정!$B$7*Q160*(1+설정!$B$9*(Q160-1))+설정!$B$8*R160*(1+설정!$B$9*(R160-1))</f>
        <v>2383</v>
      </c>
      <c r="Y160" s="7">
        <f>설정!$B$10*(O160*(1+설정!$B$9*(O160-1))+P160*(1+설정!$B$9*(P160-1)))</f>
        <v>51</v>
      </c>
      <c r="Z160" s="7">
        <f t="shared" si="2"/>
        <v>41.9</v>
      </c>
      <c r="AA160" s="7">
        <f>X160*설정!$B$11</f>
        <v>238.3</v>
      </c>
      <c r="AB160" s="3"/>
    </row>
    <row r="161" spans="1:28">
      <c r="A161" s="3" t="s">
        <v>766</v>
      </c>
      <c r="B161" s="4" t="s">
        <v>767</v>
      </c>
      <c r="C161" s="4" t="s">
        <v>725</v>
      </c>
      <c r="D161" s="4" t="s">
        <v>31</v>
      </c>
      <c r="E161" s="4" t="s">
        <v>768</v>
      </c>
      <c r="F161" s="4" t="s">
        <v>177</v>
      </c>
      <c r="G161" s="4" t="s">
        <v>315</v>
      </c>
      <c r="H161" s="5">
        <v>7.8</v>
      </c>
      <c r="I161" s="3" t="s">
        <v>769</v>
      </c>
      <c r="J161" s="3" t="s">
        <v>36</v>
      </c>
      <c r="K161" s="3" t="s">
        <v>37</v>
      </c>
      <c r="L161" s="3"/>
      <c r="M161" s="3"/>
      <c r="N161" s="3"/>
      <c r="O161" s="6">
        <v>2</v>
      </c>
      <c r="P161" s="6">
        <v>0</v>
      </c>
      <c r="Q161" s="6">
        <v>1</v>
      </c>
      <c r="R161" s="6">
        <v>0</v>
      </c>
      <c r="S161" s="6">
        <v>0</v>
      </c>
      <c r="T161" s="6">
        <v>0</v>
      </c>
      <c r="U161" s="6">
        <v>0</v>
      </c>
      <c r="V161" s="3"/>
      <c r="W161" s="4" t="s">
        <v>770</v>
      </c>
      <c r="X161" s="7">
        <f>설정!$B$4*H161+설정!$B$5*O161*(1+설정!$B$9*(O161-1))+설정!$B$6*P161*(1+설정!$B$9*(P161-1))+설정!$B$7*Q161*(1+설정!$B$9*(Q161-1))+설정!$B$8*R161*(1+설정!$B$9*(R161-1))</f>
        <v>1594</v>
      </c>
      <c r="Y161" s="7">
        <f>설정!$B$10*(O161*(1+설정!$B$9*(O161-1))+P161*(1+설정!$B$9*(P161-1)))</f>
        <v>36</v>
      </c>
      <c r="Z161" s="7">
        <f t="shared" si="2"/>
        <v>28.2</v>
      </c>
      <c r="AA161" s="7">
        <f>X161*설정!$B$11</f>
        <v>159.4</v>
      </c>
      <c r="AB161" s="3"/>
    </row>
    <row r="162" spans="1:28">
      <c r="A162" s="3" t="s">
        <v>771</v>
      </c>
      <c r="B162" s="4" t="s">
        <v>772</v>
      </c>
      <c r="C162" s="4" t="s">
        <v>725</v>
      </c>
      <c r="D162" s="4" t="s">
        <v>31</v>
      </c>
      <c r="E162" s="4" t="s">
        <v>773</v>
      </c>
      <c r="F162" s="4" t="s">
        <v>177</v>
      </c>
      <c r="G162" s="4" t="s">
        <v>315</v>
      </c>
      <c r="H162" s="5">
        <v>5.9</v>
      </c>
      <c r="I162" s="3" t="s">
        <v>774</v>
      </c>
      <c r="J162" s="3" t="s">
        <v>36</v>
      </c>
      <c r="K162" s="3" t="s">
        <v>140</v>
      </c>
      <c r="L162" s="4" t="s">
        <v>254</v>
      </c>
      <c r="M162" s="3"/>
      <c r="N162" s="3"/>
      <c r="O162" s="6">
        <v>1</v>
      </c>
      <c r="P162" s="6">
        <v>2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4" t="s">
        <v>775</v>
      </c>
      <c r="W162" s="4" t="s">
        <v>776</v>
      </c>
      <c r="X162" s="7">
        <f>설정!$B$4*H162+설정!$B$5*O162*(1+설정!$B$9*(O162-1))+설정!$B$6*P162*(1+설정!$B$9*(P162-1))+설정!$B$7*Q162*(1+설정!$B$9*(Q162-1))+설정!$B$8*R162*(1+설정!$B$9*(R162-1))</f>
        <v>687</v>
      </c>
      <c r="Y162" s="7">
        <f>설정!$B$10*(O162*(1+설정!$B$9*(O162-1))+P162*(1+설정!$B$9*(P162-1)))</f>
        <v>51</v>
      </c>
      <c r="Z162" s="7">
        <f t="shared" si="2"/>
        <v>45.1</v>
      </c>
      <c r="AA162" s="7">
        <f>X162*설정!$B$11</f>
        <v>68.7</v>
      </c>
      <c r="AB162" s="3"/>
    </row>
    <row r="163" spans="1:28">
      <c r="A163" s="3" t="s">
        <v>777</v>
      </c>
      <c r="B163" s="4" t="s">
        <v>778</v>
      </c>
      <c r="C163" s="4" t="s">
        <v>725</v>
      </c>
      <c r="D163" s="4" t="s">
        <v>31</v>
      </c>
      <c r="E163" s="4" t="s">
        <v>779</v>
      </c>
      <c r="F163" s="4" t="s">
        <v>177</v>
      </c>
      <c r="G163" s="4" t="s">
        <v>315</v>
      </c>
      <c r="H163" s="5">
        <v>5.8</v>
      </c>
      <c r="I163" s="3" t="s">
        <v>780</v>
      </c>
      <c r="J163" s="3" t="s">
        <v>36</v>
      </c>
      <c r="K163" s="3" t="s">
        <v>37</v>
      </c>
      <c r="L163" s="3"/>
      <c r="M163" s="3"/>
      <c r="N163" s="3"/>
      <c r="O163" s="6">
        <v>2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3"/>
      <c r="W163" s="4" t="s">
        <v>781</v>
      </c>
      <c r="X163" s="7">
        <f>설정!$B$4*H163+설정!$B$5*O163*(1+설정!$B$9*(O163-1))+설정!$B$6*P163*(1+설정!$B$9*(P163-1))+설정!$B$7*Q163*(1+설정!$B$9*(Q163-1))+설정!$B$8*R163*(1+설정!$B$9*(R163-1))</f>
        <v>534</v>
      </c>
      <c r="Y163" s="7">
        <f>설정!$B$10*(O163*(1+설정!$B$9*(O163-1))+P163*(1+설정!$B$9*(P163-1)))</f>
        <v>36</v>
      </c>
      <c r="Z163" s="7">
        <f t="shared" si="2"/>
        <v>30.2</v>
      </c>
      <c r="AA163" s="7">
        <f>X163*설정!$B$11</f>
        <v>53.400000000000006</v>
      </c>
      <c r="AB163" s="3"/>
    </row>
    <row r="164" spans="1:28">
      <c r="A164" s="3" t="s">
        <v>782</v>
      </c>
      <c r="B164" s="4" t="s">
        <v>783</v>
      </c>
      <c r="C164" s="4" t="s">
        <v>725</v>
      </c>
      <c r="D164" s="4" t="s">
        <v>31</v>
      </c>
      <c r="E164" s="4" t="s">
        <v>784</v>
      </c>
      <c r="F164" s="4" t="s">
        <v>177</v>
      </c>
      <c r="G164" s="4" t="s">
        <v>315</v>
      </c>
      <c r="H164" s="5">
        <v>4.9000000000000004</v>
      </c>
      <c r="I164" s="3" t="s">
        <v>785</v>
      </c>
      <c r="J164" s="3" t="s">
        <v>36</v>
      </c>
      <c r="K164" s="3" t="s">
        <v>37</v>
      </c>
      <c r="L164" s="3"/>
      <c r="M164" s="3"/>
      <c r="N164" s="3"/>
      <c r="O164" s="6">
        <v>1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3"/>
      <c r="W164" s="4" t="s">
        <v>786</v>
      </c>
      <c r="X164" s="7">
        <f>설정!$B$4*H164+설정!$B$5*O164*(1+설정!$B$9*(O164-1))+설정!$B$6*P164*(1+설정!$B$9*(P164-1))+설정!$B$7*Q164*(1+설정!$B$9*(Q164-1))+설정!$B$8*R164*(1+설정!$B$9*(R164-1))</f>
        <v>297</v>
      </c>
      <c r="Y164" s="7">
        <f>설정!$B$10*(O164*(1+설정!$B$9*(O164-1))+P164*(1+설정!$B$9*(P164-1)))</f>
        <v>15</v>
      </c>
      <c r="Z164" s="7">
        <f t="shared" si="2"/>
        <v>10.1</v>
      </c>
      <c r="AA164" s="7">
        <f>X164*설정!$B$11</f>
        <v>29.700000000000003</v>
      </c>
      <c r="AB164" s="3"/>
    </row>
    <row r="165" spans="1:28">
      <c r="A165" s="3" t="s">
        <v>787</v>
      </c>
      <c r="B165" s="4" t="s">
        <v>788</v>
      </c>
      <c r="C165" s="4" t="s">
        <v>725</v>
      </c>
      <c r="D165" s="4" t="s">
        <v>31</v>
      </c>
      <c r="E165" s="4" t="s">
        <v>789</v>
      </c>
      <c r="F165" s="4" t="s">
        <v>177</v>
      </c>
      <c r="G165" s="4" t="s">
        <v>315</v>
      </c>
      <c r="H165" s="5">
        <v>4.7</v>
      </c>
      <c r="I165" s="3" t="s">
        <v>790</v>
      </c>
      <c r="J165" s="3" t="s">
        <v>36</v>
      </c>
      <c r="K165" s="3" t="s">
        <v>140</v>
      </c>
      <c r="L165" s="4" t="s">
        <v>254</v>
      </c>
      <c r="M165" s="3"/>
      <c r="N165" s="3"/>
      <c r="O165" s="6">
        <v>1</v>
      </c>
      <c r="P165" s="6">
        <v>2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4" t="s">
        <v>791</v>
      </c>
      <c r="W165" s="4" t="s">
        <v>792</v>
      </c>
      <c r="X165" s="7">
        <f>설정!$B$4*H165+설정!$B$5*O165*(1+설정!$B$9*(O165-1))+설정!$B$6*P165*(1+설정!$B$9*(P165-1))+설정!$B$7*Q165*(1+설정!$B$9*(Q165-1))+설정!$B$8*R165*(1+설정!$B$9*(R165-1))</f>
        <v>651</v>
      </c>
      <c r="Y165" s="7">
        <f>설정!$B$10*(O165*(1+설정!$B$9*(O165-1))+P165*(1+설정!$B$9*(P165-1)))</f>
        <v>51</v>
      </c>
      <c r="Z165" s="7">
        <f t="shared" si="2"/>
        <v>46.3</v>
      </c>
      <c r="AA165" s="7">
        <f>X165*설정!$B$11</f>
        <v>65.100000000000009</v>
      </c>
      <c r="AB165" s="3"/>
    </row>
    <row r="166" spans="1:28">
      <c r="A166" s="3" t="s">
        <v>793</v>
      </c>
      <c r="B166" s="4" t="s">
        <v>794</v>
      </c>
      <c r="C166" s="4" t="s">
        <v>725</v>
      </c>
      <c r="D166" s="4" t="s">
        <v>31</v>
      </c>
      <c r="E166" s="4" t="s">
        <v>795</v>
      </c>
      <c r="F166" s="4" t="s">
        <v>362</v>
      </c>
      <c r="G166" s="4" t="s">
        <v>315</v>
      </c>
      <c r="H166" s="5">
        <v>4.5999999999999996</v>
      </c>
      <c r="I166" s="3" t="s">
        <v>796</v>
      </c>
      <c r="J166" s="3" t="s">
        <v>36</v>
      </c>
      <c r="K166" s="3" t="s">
        <v>37</v>
      </c>
      <c r="L166" s="3"/>
      <c r="M166" s="3"/>
      <c r="N166" s="3"/>
      <c r="O166" s="6">
        <v>1</v>
      </c>
      <c r="P166" s="6">
        <v>0</v>
      </c>
      <c r="Q166" s="6">
        <v>0</v>
      </c>
      <c r="R166" s="6">
        <v>1</v>
      </c>
      <c r="S166" s="6">
        <v>0</v>
      </c>
      <c r="T166" s="6">
        <v>0</v>
      </c>
      <c r="U166" s="6">
        <v>0</v>
      </c>
      <c r="V166" s="3"/>
      <c r="W166" s="3"/>
      <c r="X166" s="7">
        <f>설정!$B$4*H166+설정!$B$5*O166*(1+설정!$B$9*(O166-1))+설정!$B$6*P166*(1+설정!$B$9*(P166-1))+설정!$B$7*Q166*(1+설정!$B$9*(Q166-1))+설정!$B$8*R166*(1+설정!$B$9*(R166-1))</f>
        <v>888</v>
      </c>
      <c r="Y166" s="7">
        <f>설정!$B$10*(O166*(1+설정!$B$9*(O166-1))+P166*(1+설정!$B$9*(P166-1)))</f>
        <v>15</v>
      </c>
      <c r="Z166" s="7">
        <f t="shared" si="2"/>
        <v>10.4</v>
      </c>
      <c r="AA166" s="7">
        <f>X166*설정!$B$11</f>
        <v>88.800000000000011</v>
      </c>
      <c r="AB166" s="3"/>
    </row>
    <row r="167" spans="1:28">
      <c r="A167" s="3" t="s">
        <v>797</v>
      </c>
      <c r="B167" s="4" t="s">
        <v>798</v>
      </c>
      <c r="C167" s="4" t="s">
        <v>725</v>
      </c>
      <c r="D167" s="4" t="s">
        <v>31</v>
      </c>
      <c r="E167" s="4" t="s">
        <v>799</v>
      </c>
      <c r="F167" s="4" t="s">
        <v>177</v>
      </c>
      <c r="G167" s="4" t="s">
        <v>315</v>
      </c>
      <c r="H167" s="5">
        <v>3</v>
      </c>
      <c r="I167" s="3" t="s">
        <v>800</v>
      </c>
      <c r="J167" s="3" t="s">
        <v>36</v>
      </c>
      <c r="K167" s="3" t="s">
        <v>37</v>
      </c>
      <c r="L167" s="3"/>
      <c r="M167" s="3"/>
      <c r="N167" s="3"/>
      <c r="O167" s="6">
        <v>2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3"/>
      <c r="W167" s="4" t="s">
        <v>801</v>
      </c>
      <c r="X167" s="7">
        <f>설정!$B$4*H167+설정!$B$5*O167*(1+설정!$B$9*(O167-1))+설정!$B$6*P167*(1+설정!$B$9*(P167-1))+설정!$B$7*Q167*(1+설정!$B$9*(Q167-1))+설정!$B$8*R167*(1+설정!$B$9*(R167-1))</f>
        <v>450</v>
      </c>
      <c r="Y167" s="7">
        <f>설정!$B$10*(O167*(1+설정!$B$9*(O167-1))+P167*(1+설정!$B$9*(P167-1)))</f>
        <v>36</v>
      </c>
      <c r="Z167" s="7">
        <f t="shared" si="2"/>
        <v>33</v>
      </c>
      <c r="AA167" s="7">
        <f>X167*설정!$B$11</f>
        <v>45</v>
      </c>
      <c r="AB167" s="3"/>
    </row>
    <row r="168" spans="1:28">
      <c r="A168" s="3" t="s">
        <v>802</v>
      </c>
      <c r="B168" s="4" t="s">
        <v>803</v>
      </c>
      <c r="C168" s="4" t="s">
        <v>804</v>
      </c>
      <c r="D168" s="4" t="s">
        <v>31</v>
      </c>
      <c r="E168" s="4" t="s">
        <v>805</v>
      </c>
      <c r="F168" s="4" t="s">
        <v>362</v>
      </c>
      <c r="G168" s="4" t="s">
        <v>293</v>
      </c>
      <c r="H168" s="5">
        <v>61.9</v>
      </c>
      <c r="I168" s="3" t="s">
        <v>806</v>
      </c>
      <c r="J168" s="3" t="s">
        <v>36</v>
      </c>
      <c r="K168" s="3" t="s">
        <v>37</v>
      </c>
      <c r="L168" s="3"/>
      <c r="M168" s="3"/>
      <c r="N168" s="3"/>
      <c r="O168" s="6">
        <v>0</v>
      </c>
      <c r="P168" s="6">
        <v>0</v>
      </c>
      <c r="Q168" s="6">
        <v>1</v>
      </c>
      <c r="R168" s="6">
        <v>2</v>
      </c>
      <c r="S168" s="6">
        <v>0</v>
      </c>
      <c r="T168" s="6">
        <v>0</v>
      </c>
      <c r="U168" s="6">
        <v>0</v>
      </c>
      <c r="V168" s="3"/>
      <c r="W168" s="3"/>
      <c r="X168" s="7">
        <f>설정!$B$4*H168+설정!$B$5*O168*(1+설정!$B$9*(O168-1))+설정!$B$6*P168*(1+설정!$B$9*(P168-1))+설정!$B$7*Q168*(1+설정!$B$9*(Q168-1))+설정!$B$8*R168*(1+설정!$B$9*(R168-1))</f>
        <v>4297</v>
      </c>
      <c r="Y168" s="7">
        <f>설정!$B$10*(O168*(1+설정!$B$9*(O168-1))+P168*(1+설정!$B$9*(P168-1)))</f>
        <v>0</v>
      </c>
      <c r="Z168" s="7">
        <f t="shared" si="2"/>
        <v>-61.9</v>
      </c>
      <c r="AA168" s="7">
        <f>X168*설정!$B$11</f>
        <v>429.70000000000005</v>
      </c>
      <c r="AB168" s="3"/>
    </row>
    <row r="169" spans="1:28">
      <c r="A169" s="3" t="s">
        <v>807</v>
      </c>
      <c r="B169" s="4" t="s">
        <v>808</v>
      </c>
      <c r="C169" s="4" t="s">
        <v>804</v>
      </c>
      <c r="D169" s="4" t="s">
        <v>31</v>
      </c>
      <c r="E169" s="4" t="s">
        <v>809</v>
      </c>
      <c r="F169" s="4" t="s">
        <v>362</v>
      </c>
      <c r="G169" s="4" t="s">
        <v>293</v>
      </c>
      <c r="H169" s="5">
        <v>26.7</v>
      </c>
      <c r="I169" s="3" t="s">
        <v>810</v>
      </c>
      <c r="J169" s="3" t="s">
        <v>36</v>
      </c>
      <c r="K169" s="3" t="s">
        <v>37</v>
      </c>
      <c r="L169" s="3"/>
      <c r="M169" s="3"/>
      <c r="N169" s="3"/>
      <c r="O169" s="6">
        <v>2</v>
      </c>
      <c r="P169" s="6">
        <v>0</v>
      </c>
      <c r="Q169" s="6">
        <v>1</v>
      </c>
      <c r="R169" s="6">
        <v>1</v>
      </c>
      <c r="S169" s="6">
        <v>0</v>
      </c>
      <c r="T169" s="6">
        <v>0</v>
      </c>
      <c r="U169" s="6">
        <v>0</v>
      </c>
      <c r="V169" s="3"/>
      <c r="W169" s="4" t="s">
        <v>811</v>
      </c>
      <c r="X169" s="7">
        <f>설정!$B$4*H169+설정!$B$5*O169*(1+설정!$B$9*(O169-1))+설정!$B$6*P169*(1+설정!$B$9*(P169-1))+설정!$B$7*Q169*(1+설정!$B$9*(Q169-1))+설정!$B$8*R169*(1+설정!$B$9*(R169-1))</f>
        <v>2761</v>
      </c>
      <c r="Y169" s="7">
        <f>설정!$B$10*(O169*(1+설정!$B$9*(O169-1))+P169*(1+설정!$B$9*(P169-1)))</f>
        <v>36</v>
      </c>
      <c r="Z169" s="7">
        <f t="shared" si="2"/>
        <v>9.3000000000000007</v>
      </c>
      <c r="AA169" s="7">
        <f>X169*설정!$B$11</f>
        <v>276.10000000000002</v>
      </c>
      <c r="AB169" s="3"/>
    </row>
    <row r="170" spans="1:28">
      <c r="A170" s="3" t="s">
        <v>812</v>
      </c>
      <c r="B170" s="4" t="s">
        <v>813</v>
      </c>
      <c r="C170" s="4" t="s">
        <v>804</v>
      </c>
      <c r="D170" s="4" t="s">
        <v>31</v>
      </c>
      <c r="E170" s="4" t="s">
        <v>814</v>
      </c>
      <c r="F170" s="4" t="s">
        <v>362</v>
      </c>
      <c r="G170" s="4" t="s">
        <v>293</v>
      </c>
      <c r="H170" s="5">
        <v>25.6</v>
      </c>
      <c r="I170" s="3" t="s">
        <v>815</v>
      </c>
      <c r="J170" s="3" t="s">
        <v>36</v>
      </c>
      <c r="K170" s="3" t="s">
        <v>140</v>
      </c>
      <c r="L170" s="4" t="s">
        <v>254</v>
      </c>
      <c r="M170" s="3"/>
      <c r="N170" s="3"/>
      <c r="O170" s="6">
        <v>1</v>
      </c>
      <c r="P170" s="6">
        <v>2</v>
      </c>
      <c r="Q170" s="6">
        <v>1</v>
      </c>
      <c r="R170" s="6">
        <v>1</v>
      </c>
      <c r="S170" s="6">
        <v>0</v>
      </c>
      <c r="T170" s="6">
        <v>0</v>
      </c>
      <c r="U170" s="6">
        <v>0</v>
      </c>
      <c r="V170" s="3"/>
      <c r="W170" s="4" t="s">
        <v>816</v>
      </c>
      <c r="X170" s="7">
        <f>설정!$B$4*H170+설정!$B$5*O170*(1+설정!$B$9*(O170-1))+설정!$B$6*P170*(1+설정!$B$9*(P170-1))+설정!$B$7*Q170*(1+설정!$B$9*(Q170-1))+설정!$B$8*R170*(1+설정!$B$9*(R170-1))</f>
        <v>2878</v>
      </c>
      <c r="Y170" s="7">
        <f>설정!$B$10*(O170*(1+설정!$B$9*(O170-1))+P170*(1+설정!$B$9*(P170-1)))</f>
        <v>51</v>
      </c>
      <c r="Z170" s="7">
        <f t="shared" si="2"/>
        <v>25.4</v>
      </c>
      <c r="AA170" s="7">
        <f>X170*설정!$B$11</f>
        <v>287.8</v>
      </c>
      <c r="AB170" s="3"/>
    </row>
    <row r="171" spans="1:28">
      <c r="A171" s="3" t="s">
        <v>817</v>
      </c>
      <c r="B171" s="4" t="s">
        <v>818</v>
      </c>
      <c r="C171" s="4" t="s">
        <v>804</v>
      </c>
      <c r="D171" s="4" t="s">
        <v>31</v>
      </c>
      <c r="E171" s="4" t="s">
        <v>819</v>
      </c>
      <c r="F171" s="4" t="s">
        <v>177</v>
      </c>
      <c r="G171" s="4" t="s">
        <v>293</v>
      </c>
      <c r="H171" s="5">
        <v>10.1</v>
      </c>
      <c r="I171" s="3" t="s">
        <v>820</v>
      </c>
      <c r="J171" s="3" t="s">
        <v>36</v>
      </c>
      <c r="K171" s="3" t="s">
        <v>37</v>
      </c>
      <c r="L171" s="3"/>
      <c r="M171" s="3"/>
      <c r="N171" s="3"/>
      <c r="O171" s="6">
        <v>1</v>
      </c>
      <c r="P171" s="6">
        <v>0</v>
      </c>
      <c r="Q171" s="6">
        <v>1</v>
      </c>
      <c r="R171" s="6">
        <v>1</v>
      </c>
      <c r="S171" s="6">
        <v>0</v>
      </c>
      <c r="T171" s="6">
        <v>0</v>
      </c>
      <c r="U171" s="6">
        <v>0</v>
      </c>
      <c r="V171" s="3"/>
      <c r="W171" s="4" t="s">
        <v>821</v>
      </c>
      <c r="X171" s="7">
        <f>설정!$B$4*H171+설정!$B$5*O171*(1+설정!$B$9*(O171-1))+설정!$B$6*P171*(1+설정!$B$9*(P171-1))+설정!$B$7*Q171*(1+설정!$B$9*(Q171-1))+설정!$B$8*R171*(1+설정!$B$9*(R171-1))</f>
        <v>2053</v>
      </c>
      <c r="Y171" s="7">
        <f>설정!$B$10*(O171*(1+설정!$B$9*(O171-1))+P171*(1+설정!$B$9*(P171-1)))</f>
        <v>15</v>
      </c>
      <c r="Z171" s="7">
        <f t="shared" si="2"/>
        <v>4.9000000000000004</v>
      </c>
      <c r="AA171" s="7">
        <f>X171*설정!$B$11</f>
        <v>205.3</v>
      </c>
      <c r="AB171" s="3"/>
    </row>
    <row r="172" spans="1:28">
      <c r="A172" s="3" t="s">
        <v>822</v>
      </c>
      <c r="B172" s="4" t="s">
        <v>823</v>
      </c>
      <c r="C172" s="4" t="s">
        <v>804</v>
      </c>
      <c r="D172" s="4" t="s">
        <v>31</v>
      </c>
      <c r="E172" s="4" t="s">
        <v>824</v>
      </c>
      <c r="F172" s="4" t="s">
        <v>362</v>
      </c>
      <c r="G172" s="4" t="s">
        <v>293</v>
      </c>
      <c r="H172" s="5">
        <v>10.1</v>
      </c>
      <c r="I172" s="3" t="s">
        <v>825</v>
      </c>
      <c r="J172" s="3" t="s">
        <v>36</v>
      </c>
      <c r="K172" s="3" t="s">
        <v>37</v>
      </c>
      <c r="L172" s="3"/>
      <c r="M172" s="3"/>
      <c r="N172" s="3"/>
      <c r="O172" s="6">
        <v>2</v>
      </c>
      <c r="P172" s="6">
        <v>0</v>
      </c>
      <c r="Q172" s="6">
        <v>0</v>
      </c>
      <c r="R172" s="6">
        <v>1</v>
      </c>
      <c r="S172" s="6">
        <v>0</v>
      </c>
      <c r="T172" s="6">
        <v>0</v>
      </c>
      <c r="U172" s="6">
        <v>0</v>
      </c>
      <c r="V172" s="3"/>
      <c r="W172" s="3"/>
      <c r="X172" s="7">
        <f>설정!$B$4*H172+설정!$B$5*O172*(1+설정!$B$9*(O172-1))+설정!$B$6*P172*(1+설정!$B$9*(P172-1))+설정!$B$7*Q172*(1+설정!$B$9*(Q172-1))+설정!$B$8*R172*(1+설정!$B$9*(R172-1))</f>
        <v>1263</v>
      </c>
      <c r="Y172" s="7">
        <f>설정!$B$10*(O172*(1+설정!$B$9*(O172-1))+P172*(1+설정!$B$9*(P172-1)))</f>
        <v>36</v>
      </c>
      <c r="Z172" s="7">
        <f t="shared" si="2"/>
        <v>25.9</v>
      </c>
      <c r="AA172" s="7">
        <f>X172*설정!$B$11</f>
        <v>126.30000000000001</v>
      </c>
      <c r="AB172" s="3"/>
    </row>
    <row r="173" spans="1:28">
      <c r="A173" s="3" t="s">
        <v>826</v>
      </c>
      <c r="B173" s="4" t="s">
        <v>827</v>
      </c>
      <c r="C173" s="4" t="s">
        <v>804</v>
      </c>
      <c r="D173" s="4" t="s">
        <v>31</v>
      </c>
      <c r="E173" s="4" t="s">
        <v>828</v>
      </c>
      <c r="F173" s="4" t="s">
        <v>362</v>
      </c>
      <c r="G173" s="4" t="s">
        <v>293</v>
      </c>
      <c r="H173" s="5">
        <v>8.1999999999999993</v>
      </c>
      <c r="I173" s="3" t="s">
        <v>829</v>
      </c>
      <c r="J173" s="3" t="s">
        <v>36</v>
      </c>
      <c r="K173" s="3" t="s">
        <v>140</v>
      </c>
      <c r="L173" s="4" t="s">
        <v>254</v>
      </c>
      <c r="M173" s="3"/>
      <c r="N173" s="3"/>
      <c r="O173" s="6">
        <v>2</v>
      </c>
      <c r="P173" s="6">
        <v>1</v>
      </c>
      <c r="Q173" s="6">
        <v>0</v>
      </c>
      <c r="R173" s="6">
        <v>1</v>
      </c>
      <c r="S173" s="6">
        <v>0</v>
      </c>
      <c r="T173" s="6">
        <v>0</v>
      </c>
      <c r="U173" s="6">
        <v>0</v>
      </c>
      <c r="V173" s="3"/>
      <c r="W173" s="4" t="s">
        <v>830</v>
      </c>
      <c r="X173" s="7">
        <f>설정!$B$4*H173+설정!$B$5*O173*(1+설정!$B$9*(O173-1))+설정!$B$6*P173*(1+설정!$B$9*(P173-1))+설정!$B$7*Q173*(1+설정!$B$9*(Q173-1))+설정!$B$8*R173*(1+설정!$B$9*(R173-1))</f>
        <v>1356</v>
      </c>
      <c r="Y173" s="7">
        <f>설정!$B$10*(O173*(1+설정!$B$9*(O173-1))+P173*(1+설정!$B$9*(P173-1)))</f>
        <v>51</v>
      </c>
      <c r="Z173" s="7">
        <f t="shared" si="2"/>
        <v>42.8</v>
      </c>
      <c r="AA173" s="7">
        <f>X173*설정!$B$11</f>
        <v>135.6</v>
      </c>
      <c r="AB173" s="3"/>
    </row>
    <row r="174" spans="1:28">
      <c r="A174" s="3" t="s">
        <v>831</v>
      </c>
      <c r="B174" s="4" t="s">
        <v>832</v>
      </c>
      <c r="C174" s="4" t="s">
        <v>804</v>
      </c>
      <c r="D174" s="4" t="s">
        <v>31</v>
      </c>
      <c r="E174" s="4" t="s">
        <v>833</v>
      </c>
      <c r="F174" s="4" t="s">
        <v>362</v>
      </c>
      <c r="G174" s="4" t="s">
        <v>293</v>
      </c>
      <c r="H174" s="5">
        <v>7.4</v>
      </c>
      <c r="I174" s="3" t="s">
        <v>834</v>
      </c>
      <c r="J174" s="3" t="s">
        <v>36</v>
      </c>
      <c r="K174" s="3" t="s">
        <v>37</v>
      </c>
      <c r="L174" s="3"/>
      <c r="M174" s="3"/>
      <c r="N174" s="3"/>
      <c r="O174" s="6">
        <v>2</v>
      </c>
      <c r="P174" s="6">
        <v>0</v>
      </c>
      <c r="Q174" s="6">
        <v>0</v>
      </c>
      <c r="R174" s="6">
        <v>1</v>
      </c>
      <c r="S174" s="6">
        <v>0</v>
      </c>
      <c r="T174" s="6">
        <v>0</v>
      </c>
      <c r="U174" s="6">
        <v>0</v>
      </c>
      <c r="V174" s="3"/>
      <c r="W174" s="4" t="s">
        <v>835</v>
      </c>
      <c r="X174" s="7">
        <f>설정!$B$4*H174+설정!$B$5*O174*(1+설정!$B$9*(O174-1))+설정!$B$6*P174*(1+설정!$B$9*(P174-1))+설정!$B$7*Q174*(1+설정!$B$9*(Q174-1))+설정!$B$8*R174*(1+설정!$B$9*(R174-1))</f>
        <v>1182</v>
      </c>
      <c r="Y174" s="7">
        <f>설정!$B$10*(O174*(1+설정!$B$9*(O174-1))+P174*(1+설정!$B$9*(P174-1)))</f>
        <v>36</v>
      </c>
      <c r="Z174" s="7">
        <f t="shared" si="2"/>
        <v>28.6</v>
      </c>
      <c r="AA174" s="7">
        <f>X174*설정!$B$11</f>
        <v>118.2</v>
      </c>
      <c r="AB174" s="3"/>
    </row>
    <row r="175" spans="1:28">
      <c r="A175" s="3" t="s">
        <v>836</v>
      </c>
      <c r="B175" s="4" t="s">
        <v>837</v>
      </c>
      <c r="C175" s="4" t="s">
        <v>804</v>
      </c>
      <c r="D175" s="4" t="s">
        <v>31</v>
      </c>
      <c r="E175" s="4" t="s">
        <v>838</v>
      </c>
      <c r="F175" s="4" t="s">
        <v>177</v>
      </c>
      <c r="G175" s="4" t="s">
        <v>293</v>
      </c>
      <c r="H175" s="5">
        <v>5</v>
      </c>
      <c r="I175" s="3" t="s">
        <v>839</v>
      </c>
      <c r="J175" s="3" t="s">
        <v>36</v>
      </c>
      <c r="K175" s="3" t="s">
        <v>140</v>
      </c>
      <c r="L175" s="4" t="s">
        <v>254</v>
      </c>
      <c r="M175" s="3"/>
      <c r="N175" s="3"/>
      <c r="O175" s="6">
        <v>2</v>
      </c>
      <c r="P175" s="6">
        <v>1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3"/>
      <c r="W175" s="4" t="s">
        <v>840</v>
      </c>
      <c r="X175" s="7">
        <f>설정!$B$4*H175+설정!$B$5*O175*(1+설정!$B$9*(O175-1))+설정!$B$6*P175*(1+설정!$B$9*(P175-1))+설정!$B$7*Q175*(1+설정!$B$9*(Q175-1))+설정!$B$8*R175*(1+설정!$B$9*(R175-1))</f>
        <v>660</v>
      </c>
      <c r="Y175" s="7">
        <f>설정!$B$10*(O175*(1+설정!$B$9*(O175-1))+P175*(1+설정!$B$9*(P175-1)))</f>
        <v>51</v>
      </c>
      <c r="Z175" s="7">
        <f t="shared" si="2"/>
        <v>46</v>
      </c>
      <c r="AA175" s="7">
        <f>X175*설정!$B$11</f>
        <v>66</v>
      </c>
      <c r="AB175" s="3"/>
    </row>
    <row r="176" spans="1:28">
      <c r="A176" s="3" t="s">
        <v>841</v>
      </c>
      <c r="B176" s="4" t="s">
        <v>842</v>
      </c>
      <c r="C176" s="4" t="s">
        <v>804</v>
      </c>
      <c r="D176" s="4" t="s">
        <v>31</v>
      </c>
      <c r="E176" s="4" t="s">
        <v>843</v>
      </c>
      <c r="F176" s="4" t="s">
        <v>177</v>
      </c>
      <c r="G176" s="4" t="s">
        <v>293</v>
      </c>
      <c r="H176" s="5">
        <v>4.7</v>
      </c>
      <c r="I176" s="3" t="s">
        <v>844</v>
      </c>
      <c r="J176" s="3" t="s">
        <v>36</v>
      </c>
      <c r="K176" s="3" t="s">
        <v>140</v>
      </c>
      <c r="L176" s="4" t="s">
        <v>254</v>
      </c>
      <c r="M176" s="3"/>
      <c r="N176" s="3"/>
      <c r="O176" s="6">
        <v>2</v>
      </c>
      <c r="P176" s="6">
        <v>2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3"/>
      <c r="W176" s="4" t="s">
        <v>845</v>
      </c>
      <c r="X176" s="7">
        <f>설정!$B$4*H176+설정!$B$5*O176*(1+설정!$B$9*(O176-1))+설정!$B$6*P176*(1+설정!$B$9*(P176-1))+설정!$B$7*Q176*(1+설정!$B$9*(Q176-1))+설정!$B$8*R176*(1+설정!$B$9*(R176-1))</f>
        <v>861</v>
      </c>
      <c r="Y176" s="7">
        <f>설정!$B$10*(O176*(1+설정!$B$9*(O176-1))+P176*(1+설정!$B$9*(P176-1)))</f>
        <v>72</v>
      </c>
      <c r="Z176" s="7">
        <f t="shared" si="2"/>
        <v>67.3</v>
      </c>
      <c r="AA176" s="7">
        <f>X176*설정!$B$11</f>
        <v>86.100000000000009</v>
      </c>
      <c r="AB176" s="3"/>
    </row>
    <row r="177" spans="1:28">
      <c r="A177" s="3" t="s">
        <v>846</v>
      </c>
      <c r="B177" s="4" t="s">
        <v>847</v>
      </c>
      <c r="C177" s="4" t="s">
        <v>804</v>
      </c>
      <c r="D177" s="4" t="s">
        <v>31</v>
      </c>
      <c r="E177" s="4" t="s">
        <v>848</v>
      </c>
      <c r="F177" s="4" t="s">
        <v>177</v>
      </c>
      <c r="G177" s="4" t="s">
        <v>293</v>
      </c>
      <c r="H177" s="5">
        <v>2.8</v>
      </c>
      <c r="I177" s="3" t="s">
        <v>849</v>
      </c>
      <c r="J177" s="3" t="s">
        <v>36</v>
      </c>
      <c r="K177" s="3" t="s">
        <v>37</v>
      </c>
      <c r="L177" s="3"/>
      <c r="M177" s="3"/>
      <c r="N177" s="3"/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3"/>
      <c r="W177" s="4" t="s">
        <v>850</v>
      </c>
      <c r="X177" s="7">
        <f>설정!$B$4*H177+설정!$B$5*O177*(1+설정!$B$9*(O177-1))+설정!$B$6*P177*(1+설정!$B$9*(P177-1))+설정!$B$7*Q177*(1+설정!$B$9*(Q177-1))+설정!$B$8*R177*(1+설정!$B$9*(R177-1))</f>
        <v>234</v>
      </c>
      <c r="Y177" s="7">
        <f>설정!$B$10*(O177*(1+설정!$B$9*(O177-1))+P177*(1+설정!$B$9*(P177-1)))</f>
        <v>15</v>
      </c>
      <c r="Z177" s="7">
        <f t="shared" si="2"/>
        <v>12.2</v>
      </c>
      <c r="AA177" s="7">
        <f>X177*설정!$B$11</f>
        <v>23.400000000000002</v>
      </c>
      <c r="AB177" s="3"/>
    </row>
    <row r="178" spans="1:28">
      <c r="A178" s="3" t="s">
        <v>851</v>
      </c>
      <c r="B178" s="4" t="s">
        <v>852</v>
      </c>
      <c r="C178" s="4" t="s">
        <v>804</v>
      </c>
      <c r="D178" s="4" t="s">
        <v>31</v>
      </c>
      <c r="E178" s="4" t="s">
        <v>853</v>
      </c>
      <c r="F178" s="4" t="s">
        <v>177</v>
      </c>
      <c r="G178" s="4" t="s">
        <v>293</v>
      </c>
      <c r="H178" s="5">
        <v>2.5</v>
      </c>
      <c r="I178" s="3" t="s">
        <v>854</v>
      </c>
      <c r="J178" s="3" t="s">
        <v>36</v>
      </c>
      <c r="K178" s="3" t="s">
        <v>37</v>
      </c>
      <c r="L178" s="3"/>
      <c r="M178" s="3"/>
      <c r="N178" s="3"/>
      <c r="O178" s="6">
        <v>1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3"/>
      <c r="W178" s="4" t="s">
        <v>855</v>
      </c>
      <c r="X178" s="7">
        <f>설정!$B$4*H178+설정!$B$5*O178*(1+설정!$B$9*(O178-1))+설정!$B$6*P178*(1+설정!$B$9*(P178-1))+설정!$B$7*Q178*(1+설정!$B$9*(Q178-1))+설정!$B$8*R178*(1+설정!$B$9*(R178-1))</f>
        <v>225</v>
      </c>
      <c r="Y178" s="7">
        <f>설정!$B$10*(O178*(1+설정!$B$9*(O178-1))+P178*(1+설정!$B$9*(P178-1)))</f>
        <v>15</v>
      </c>
      <c r="Z178" s="7">
        <f t="shared" si="2"/>
        <v>12.5</v>
      </c>
      <c r="AA178" s="7">
        <f>X178*설정!$B$11</f>
        <v>22.5</v>
      </c>
      <c r="AB178" s="3"/>
    </row>
    <row r="179" spans="1:28">
      <c r="A179" s="3" t="s">
        <v>856</v>
      </c>
      <c r="B179" s="4" t="s">
        <v>857</v>
      </c>
      <c r="C179" s="4" t="s">
        <v>804</v>
      </c>
      <c r="D179" s="4" t="s">
        <v>31</v>
      </c>
      <c r="E179" s="4" t="s">
        <v>858</v>
      </c>
      <c r="F179" s="4" t="s">
        <v>177</v>
      </c>
      <c r="G179" s="4" t="s">
        <v>293</v>
      </c>
      <c r="H179" s="5">
        <v>2.5</v>
      </c>
      <c r="I179" s="3" t="s">
        <v>859</v>
      </c>
      <c r="J179" s="3" t="s">
        <v>36</v>
      </c>
      <c r="K179" s="3" t="s">
        <v>37</v>
      </c>
      <c r="L179" s="3"/>
      <c r="M179" s="3"/>
      <c r="N179" s="3"/>
      <c r="O179" s="6">
        <v>1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3"/>
      <c r="W179" s="4" t="s">
        <v>860</v>
      </c>
      <c r="X179" s="7">
        <f>설정!$B$4*H179+설정!$B$5*O179*(1+설정!$B$9*(O179-1))+설정!$B$6*P179*(1+설정!$B$9*(P179-1))+설정!$B$7*Q179*(1+설정!$B$9*(Q179-1))+설정!$B$8*R179*(1+설정!$B$9*(R179-1))</f>
        <v>225</v>
      </c>
      <c r="Y179" s="7">
        <f>설정!$B$10*(O179*(1+설정!$B$9*(O179-1))+P179*(1+설정!$B$9*(P179-1)))</f>
        <v>15</v>
      </c>
      <c r="Z179" s="7">
        <f t="shared" si="2"/>
        <v>12.5</v>
      </c>
      <c r="AA179" s="7">
        <f>X179*설정!$B$11</f>
        <v>22.5</v>
      </c>
      <c r="AB179" s="3"/>
    </row>
    <row r="180" spans="1:28">
      <c r="A180" s="3" t="s">
        <v>861</v>
      </c>
      <c r="B180" s="4" t="s">
        <v>862</v>
      </c>
      <c r="C180" s="4" t="s">
        <v>804</v>
      </c>
      <c r="D180" s="4" t="s">
        <v>31</v>
      </c>
      <c r="E180" s="4" t="s">
        <v>863</v>
      </c>
      <c r="F180" s="4" t="s">
        <v>177</v>
      </c>
      <c r="G180" s="4" t="s">
        <v>293</v>
      </c>
      <c r="H180" s="5">
        <v>2.2999999999999998</v>
      </c>
      <c r="I180" s="3" t="s">
        <v>864</v>
      </c>
      <c r="J180" s="3" t="s">
        <v>36</v>
      </c>
      <c r="K180" s="3" t="s">
        <v>37</v>
      </c>
      <c r="L180" s="3"/>
      <c r="M180" s="3"/>
      <c r="N180" s="3"/>
      <c r="O180" s="6">
        <v>1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3"/>
      <c r="W180" s="4" t="s">
        <v>865</v>
      </c>
      <c r="X180" s="7">
        <f>설정!$B$4*H180+설정!$B$5*O180*(1+설정!$B$9*(O180-1))+설정!$B$6*P180*(1+설정!$B$9*(P180-1))+설정!$B$7*Q180*(1+설정!$B$9*(Q180-1))+설정!$B$8*R180*(1+설정!$B$9*(R180-1))</f>
        <v>219</v>
      </c>
      <c r="Y180" s="7">
        <f>설정!$B$10*(O180*(1+설정!$B$9*(O180-1))+P180*(1+설정!$B$9*(P180-1)))</f>
        <v>15</v>
      </c>
      <c r="Z180" s="7">
        <f t="shared" si="2"/>
        <v>12.7</v>
      </c>
      <c r="AA180" s="7">
        <f>X180*설정!$B$11</f>
        <v>21.900000000000002</v>
      </c>
      <c r="AB180" s="3"/>
    </row>
    <row r="181" spans="1:28">
      <c r="A181" s="3" t="s">
        <v>866</v>
      </c>
      <c r="B181" s="4" t="s">
        <v>867</v>
      </c>
      <c r="C181" s="4" t="s">
        <v>804</v>
      </c>
      <c r="D181" s="4" t="s">
        <v>31</v>
      </c>
      <c r="E181" s="4" t="s">
        <v>868</v>
      </c>
      <c r="F181" s="4" t="s">
        <v>177</v>
      </c>
      <c r="G181" s="4" t="s">
        <v>293</v>
      </c>
      <c r="H181" s="5">
        <v>2.1</v>
      </c>
      <c r="I181" s="3" t="s">
        <v>869</v>
      </c>
      <c r="J181" s="3" t="s">
        <v>36</v>
      </c>
      <c r="K181" s="3" t="s">
        <v>37</v>
      </c>
      <c r="L181" s="3"/>
      <c r="M181" s="3"/>
      <c r="N181" s="3"/>
      <c r="O181" s="6">
        <v>1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3"/>
      <c r="W181" s="4" t="s">
        <v>870</v>
      </c>
      <c r="X181" s="7">
        <f>설정!$B$4*H181+설정!$B$5*O181*(1+설정!$B$9*(O181-1))+설정!$B$6*P181*(1+설정!$B$9*(P181-1))+설정!$B$7*Q181*(1+설정!$B$9*(Q181-1))+설정!$B$8*R181*(1+설정!$B$9*(R181-1))</f>
        <v>213</v>
      </c>
      <c r="Y181" s="7">
        <f>설정!$B$10*(O181*(1+설정!$B$9*(O181-1))+P181*(1+설정!$B$9*(P181-1)))</f>
        <v>15</v>
      </c>
      <c r="Z181" s="7">
        <f t="shared" si="2"/>
        <v>12.9</v>
      </c>
      <c r="AA181" s="7">
        <f>X181*설정!$B$11</f>
        <v>21.3</v>
      </c>
      <c r="AB181" s="3"/>
    </row>
    <row r="182" spans="1:28">
      <c r="A182" s="3" t="s">
        <v>871</v>
      </c>
      <c r="B182" s="4" t="s">
        <v>872</v>
      </c>
      <c r="C182" s="4" t="s">
        <v>873</v>
      </c>
      <c r="D182" s="4" t="s">
        <v>31</v>
      </c>
      <c r="E182" s="4" t="s">
        <v>874</v>
      </c>
      <c r="F182" s="4" t="s">
        <v>362</v>
      </c>
      <c r="G182" s="4" t="s">
        <v>293</v>
      </c>
      <c r="H182" s="5">
        <v>27.3</v>
      </c>
      <c r="I182" s="3" t="s">
        <v>875</v>
      </c>
      <c r="J182" s="3" t="s">
        <v>36</v>
      </c>
      <c r="K182" s="3" t="s">
        <v>140</v>
      </c>
      <c r="L182" s="4" t="s">
        <v>876</v>
      </c>
      <c r="M182" s="3"/>
      <c r="N182" s="3"/>
      <c r="O182" s="6">
        <v>1</v>
      </c>
      <c r="P182" s="6">
        <v>1</v>
      </c>
      <c r="Q182" s="6">
        <v>1</v>
      </c>
      <c r="R182" s="6">
        <v>1</v>
      </c>
      <c r="S182" s="6">
        <v>0</v>
      </c>
      <c r="T182" s="6">
        <v>0</v>
      </c>
      <c r="U182" s="6">
        <v>0</v>
      </c>
      <c r="V182" s="3"/>
      <c r="W182" s="4" t="s">
        <v>877</v>
      </c>
      <c r="X182" s="7">
        <f>설정!$B$4*H182+설정!$B$5*O182*(1+설정!$B$9*(O182-1))+설정!$B$6*P182*(1+설정!$B$9*(P182-1))+설정!$B$7*Q182*(1+설정!$B$9*(Q182-1))+설정!$B$8*R182*(1+설정!$B$9*(R182-1))</f>
        <v>2719</v>
      </c>
      <c r="Y182" s="7">
        <f>설정!$B$10*(O182*(1+설정!$B$9*(O182-1))+P182*(1+설정!$B$9*(P182-1)))</f>
        <v>30</v>
      </c>
      <c r="Z182" s="7">
        <f t="shared" si="2"/>
        <v>2.6999999999999993</v>
      </c>
      <c r="AA182" s="7">
        <f>X182*설정!$B$11</f>
        <v>271.90000000000003</v>
      </c>
      <c r="AB182" s="3"/>
    </row>
    <row r="183" spans="1:28">
      <c r="A183" s="3" t="s">
        <v>878</v>
      </c>
      <c r="B183" s="4" t="s">
        <v>879</v>
      </c>
      <c r="C183" s="4" t="s">
        <v>873</v>
      </c>
      <c r="D183" s="4" t="s">
        <v>31</v>
      </c>
      <c r="E183" s="4" t="s">
        <v>880</v>
      </c>
      <c r="F183" s="4" t="s">
        <v>362</v>
      </c>
      <c r="G183" s="4" t="s">
        <v>293</v>
      </c>
      <c r="H183" s="5">
        <v>26</v>
      </c>
      <c r="I183" s="3" t="s">
        <v>881</v>
      </c>
      <c r="J183" s="3" t="s">
        <v>36</v>
      </c>
      <c r="K183" s="3" t="s">
        <v>140</v>
      </c>
      <c r="L183" s="4" t="s">
        <v>876</v>
      </c>
      <c r="M183" s="3"/>
      <c r="N183" s="3"/>
      <c r="O183" s="6">
        <v>1</v>
      </c>
      <c r="P183" s="6">
        <v>2</v>
      </c>
      <c r="Q183" s="6">
        <v>2</v>
      </c>
      <c r="R183" s="6">
        <v>1</v>
      </c>
      <c r="S183" s="6">
        <v>1</v>
      </c>
      <c r="T183" s="6">
        <v>0</v>
      </c>
      <c r="U183" s="6">
        <v>0</v>
      </c>
      <c r="V183" s="4" t="s">
        <v>882</v>
      </c>
      <c r="W183" s="4" t="s">
        <v>883</v>
      </c>
      <c r="X183" s="7">
        <f>설정!$B$4*H183+설정!$B$5*O183*(1+설정!$B$9*(O183-1))+설정!$B$6*P183*(1+설정!$B$9*(P183-1))+설정!$B$7*Q183*(1+설정!$B$9*(Q183-1))+설정!$B$8*R183*(1+설정!$B$9*(R183-1))</f>
        <v>4290</v>
      </c>
      <c r="Y183" s="7">
        <f>설정!$B$10*(O183*(1+설정!$B$9*(O183-1))+P183*(1+설정!$B$9*(P183-1)))</f>
        <v>51</v>
      </c>
      <c r="Z183" s="7">
        <f t="shared" si="2"/>
        <v>25</v>
      </c>
      <c r="AA183" s="7">
        <f>X183*설정!$B$11</f>
        <v>429</v>
      </c>
      <c r="AB183" s="3" t="s">
        <v>884</v>
      </c>
    </row>
    <row r="184" spans="1:28">
      <c r="A184" s="3" t="s">
        <v>885</v>
      </c>
      <c r="B184" s="4" t="s">
        <v>886</v>
      </c>
      <c r="C184" s="4" t="s">
        <v>873</v>
      </c>
      <c r="D184" s="4" t="s">
        <v>31</v>
      </c>
      <c r="E184" s="4" t="s">
        <v>887</v>
      </c>
      <c r="F184" s="4" t="s">
        <v>362</v>
      </c>
      <c r="G184" s="4" t="s">
        <v>293</v>
      </c>
      <c r="H184" s="5">
        <v>19.899999999999999</v>
      </c>
      <c r="I184" s="3" t="s">
        <v>888</v>
      </c>
      <c r="J184" s="3" t="s">
        <v>36</v>
      </c>
      <c r="K184" s="3" t="s">
        <v>140</v>
      </c>
      <c r="L184" s="4" t="s">
        <v>254</v>
      </c>
      <c r="M184" s="3"/>
      <c r="N184" s="3"/>
      <c r="O184" s="6">
        <v>0</v>
      </c>
      <c r="P184" s="6">
        <v>2</v>
      </c>
      <c r="Q184" s="6">
        <v>1</v>
      </c>
      <c r="R184" s="6">
        <v>1</v>
      </c>
      <c r="S184" s="6">
        <v>0</v>
      </c>
      <c r="T184" s="6">
        <v>0</v>
      </c>
      <c r="U184" s="6">
        <v>0</v>
      </c>
      <c r="V184" s="3"/>
      <c r="W184" s="4" t="s">
        <v>889</v>
      </c>
      <c r="X184" s="7">
        <f>설정!$B$4*H184+설정!$B$5*O184*(1+설정!$B$9*(O184-1))+설정!$B$6*P184*(1+설정!$B$9*(P184-1))+설정!$B$7*Q184*(1+설정!$B$9*(Q184-1))+설정!$B$8*R184*(1+설정!$B$9*(R184-1))</f>
        <v>2557</v>
      </c>
      <c r="Y184" s="7">
        <f>설정!$B$10*(O184*(1+설정!$B$9*(O184-1))+P184*(1+설정!$B$9*(P184-1)))</f>
        <v>36</v>
      </c>
      <c r="Z184" s="7">
        <f t="shared" si="2"/>
        <v>16.100000000000001</v>
      </c>
      <c r="AA184" s="7">
        <f>X184*설정!$B$11</f>
        <v>255.70000000000002</v>
      </c>
      <c r="AB184" s="3"/>
    </row>
    <row r="185" spans="1:28">
      <c r="A185" s="3" t="s">
        <v>890</v>
      </c>
      <c r="B185" s="4" t="s">
        <v>891</v>
      </c>
      <c r="C185" s="4" t="s">
        <v>873</v>
      </c>
      <c r="D185" s="4" t="s">
        <v>31</v>
      </c>
      <c r="E185" s="4" t="s">
        <v>892</v>
      </c>
      <c r="F185" s="4" t="s">
        <v>362</v>
      </c>
      <c r="G185" s="4" t="s">
        <v>293</v>
      </c>
      <c r="H185" s="5">
        <v>15.6</v>
      </c>
      <c r="I185" s="3" t="s">
        <v>893</v>
      </c>
      <c r="J185" s="3" t="s">
        <v>36</v>
      </c>
      <c r="K185" s="3" t="s">
        <v>140</v>
      </c>
      <c r="L185" s="4" t="s">
        <v>876</v>
      </c>
      <c r="M185" s="3"/>
      <c r="N185" s="3"/>
      <c r="O185" s="6">
        <v>1</v>
      </c>
      <c r="P185" s="6">
        <v>1</v>
      </c>
      <c r="Q185" s="6">
        <v>2</v>
      </c>
      <c r="R185" s="6">
        <v>1</v>
      </c>
      <c r="S185" s="6">
        <v>0</v>
      </c>
      <c r="T185" s="6">
        <v>0</v>
      </c>
      <c r="U185" s="6">
        <v>0</v>
      </c>
      <c r="V185" s="3"/>
      <c r="W185" s="4" t="s">
        <v>894</v>
      </c>
      <c r="X185" s="7">
        <f>설정!$B$4*H185+설정!$B$5*O185*(1+설정!$B$9*(O185-1))+설정!$B$6*P185*(1+설정!$B$9*(P185-1))+설정!$B$7*Q185*(1+설정!$B$9*(Q185-1))+설정!$B$8*R185*(1+설정!$B$9*(R185-1))</f>
        <v>3768</v>
      </c>
      <c r="Y185" s="7">
        <f>설정!$B$10*(O185*(1+설정!$B$9*(O185-1))+P185*(1+설정!$B$9*(P185-1)))</f>
        <v>30</v>
      </c>
      <c r="Z185" s="7">
        <f t="shared" si="2"/>
        <v>14.4</v>
      </c>
      <c r="AA185" s="7">
        <f>X185*설정!$B$11</f>
        <v>376.8</v>
      </c>
      <c r="AB185" s="3"/>
    </row>
    <row r="186" spans="1:28">
      <c r="A186" s="3" t="s">
        <v>895</v>
      </c>
      <c r="B186" s="4" t="s">
        <v>896</v>
      </c>
      <c r="C186" s="4" t="s">
        <v>873</v>
      </c>
      <c r="D186" s="4" t="s">
        <v>31</v>
      </c>
      <c r="E186" s="4" t="s">
        <v>897</v>
      </c>
      <c r="F186" s="4" t="s">
        <v>362</v>
      </c>
      <c r="G186" s="4" t="s">
        <v>293</v>
      </c>
      <c r="H186" s="5">
        <v>11.7</v>
      </c>
      <c r="I186" s="3" t="s">
        <v>898</v>
      </c>
      <c r="J186" s="3" t="s">
        <v>36</v>
      </c>
      <c r="K186" s="3" t="s">
        <v>37</v>
      </c>
      <c r="L186" s="3"/>
      <c r="M186" s="3"/>
      <c r="N186" s="3"/>
      <c r="O186" s="6">
        <v>2</v>
      </c>
      <c r="P186" s="6">
        <v>0</v>
      </c>
      <c r="Q186" s="6">
        <v>1</v>
      </c>
      <c r="R186" s="6">
        <v>1</v>
      </c>
      <c r="S186" s="6">
        <v>0</v>
      </c>
      <c r="T186" s="6">
        <v>0</v>
      </c>
      <c r="U186" s="6">
        <v>0</v>
      </c>
      <c r="V186" s="3"/>
      <c r="W186" s="4" t="s">
        <v>899</v>
      </c>
      <c r="X186" s="7">
        <f>설정!$B$4*H186+설정!$B$5*O186*(1+설정!$B$9*(O186-1))+설정!$B$6*P186*(1+설정!$B$9*(P186-1))+설정!$B$7*Q186*(1+설정!$B$9*(Q186-1))+설정!$B$8*R186*(1+설정!$B$9*(R186-1))</f>
        <v>2311</v>
      </c>
      <c r="Y186" s="7">
        <f>설정!$B$10*(O186*(1+설정!$B$9*(O186-1))+P186*(1+설정!$B$9*(P186-1)))</f>
        <v>36</v>
      </c>
      <c r="Z186" s="7">
        <f t="shared" si="2"/>
        <v>24.3</v>
      </c>
      <c r="AA186" s="7">
        <f>X186*설정!$B$11</f>
        <v>231.10000000000002</v>
      </c>
      <c r="AB186" s="3"/>
    </row>
    <row r="187" spans="1:28">
      <c r="A187" s="3" t="s">
        <v>900</v>
      </c>
      <c r="B187" s="4" t="s">
        <v>901</v>
      </c>
      <c r="C187" s="4" t="s">
        <v>873</v>
      </c>
      <c r="D187" s="4" t="s">
        <v>31</v>
      </c>
      <c r="E187" s="4" t="s">
        <v>902</v>
      </c>
      <c r="F187" s="4" t="s">
        <v>177</v>
      </c>
      <c r="G187" s="4" t="s">
        <v>293</v>
      </c>
      <c r="H187" s="5">
        <v>9.6</v>
      </c>
      <c r="I187" s="3" t="s">
        <v>903</v>
      </c>
      <c r="J187" s="3" t="s">
        <v>36</v>
      </c>
      <c r="K187" s="3" t="s">
        <v>140</v>
      </c>
      <c r="L187" s="4" t="s">
        <v>254</v>
      </c>
      <c r="M187" s="3"/>
      <c r="N187" s="3"/>
      <c r="O187" s="6">
        <v>2</v>
      </c>
      <c r="P187" s="6">
        <v>1</v>
      </c>
      <c r="Q187" s="6">
        <v>0</v>
      </c>
      <c r="R187" s="6">
        <v>1</v>
      </c>
      <c r="S187" s="6">
        <v>0</v>
      </c>
      <c r="T187" s="6">
        <v>0</v>
      </c>
      <c r="U187" s="6">
        <v>0</v>
      </c>
      <c r="V187" s="3"/>
      <c r="W187" s="4" t="s">
        <v>904</v>
      </c>
      <c r="X187" s="7">
        <f>설정!$B$4*H187+설정!$B$5*O187*(1+설정!$B$9*(O187-1))+설정!$B$6*P187*(1+설정!$B$9*(P187-1))+설정!$B$7*Q187*(1+설정!$B$9*(Q187-1))+설정!$B$8*R187*(1+설정!$B$9*(R187-1))</f>
        <v>1398</v>
      </c>
      <c r="Y187" s="7">
        <f>설정!$B$10*(O187*(1+설정!$B$9*(O187-1))+P187*(1+설정!$B$9*(P187-1)))</f>
        <v>51</v>
      </c>
      <c r="Z187" s="7">
        <f t="shared" si="2"/>
        <v>41.4</v>
      </c>
      <c r="AA187" s="7">
        <f>X187*설정!$B$11</f>
        <v>139.80000000000001</v>
      </c>
      <c r="AB187" s="3"/>
    </row>
    <row r="188" spans="1:28">
      <c r="A188" s="3" t="s">
        <v>905</v>
      </c>
      <c r="B188" s="4" t="s">
        <v>906</v>
      </c>
      <c r="C188" s="4" t="s">
        <v>873</v>
      </c>
      <c r="D188" s="4" t="s">
        <v>31</v>
      </c>
      <c r="E188" s="4" t="s">
        <v>907</v>
      </c>
      <c r="F188" s="4" t="s">
        <v>177</v>
      </c>
      <c r="G188" s="4" t="s">
        <v>293</v>
      </c>
      <c r="H188" s="5">
        <v>6.2</v>
      </c>
      <c r="I188" s="3" t="s">
        <v>908</v>
      </c>
      <c r="J188" s="3" t="s">
        <v>36</v>
      </c>
      <c r="K188" s="3" t="s">
        <v>140</v>
      </c>
      <c r="L188" s="4" t="s">
        <v>909</v>
      </c>
      <c r="M188" s="3"/>
      <c r="N188" s="3"/>
      <c r="O188" s="6">
        <v>2</v>
      </c>
      <c r="P188" s="6">
        <v>1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3"/>
      <c r="W188" s="4" t="s">
        <v>910</v>
      </c>
      <c r="X188" s="7">
        <f>설정!$B$4*H188+설정!$B$5*O188*(1+설정!$B$9*(O188-1))+설정!$B$6*P188*(1+설정!$B$9*(P188-1))+설정!$B$7*Q188*(1+설정!$B$9*(Q188-1))+설정!$B$8*R188*(1+설정!$B$9*(R188-1))</f>
        <v>696</v>
      </c>
      <c r="Y188" s="7">
        <f>설정!$B$10*(O188*(1+설정!$B$9*(O188-1))+P188*(1+설정!$B$9*(P188-1)))</f>
        <v>51</v>
      </c>
      <c r="Z188" s="7">
        <f t="shared" si="2"/>
        <v>44.8</v>
      </c>
      <c r="AA188" s="7">
        <f>X188*설정!$B$11</f>
        <v>69.600000000000009</v>
      </c>
      <c r="AB188" s="3"/>
    </row>
    <row r="189" spans="1:28">
      <c r="A189" s="3" t="s">
        <v>911</v>
      </c>
      <c r="B189" s="4" t="s">
        <v>912</v>
      </c>
      <c r="C189" s="4" t="s">
        <v>873</v>
      </c>
      <c r="D189" s="4" t="s">
        <v>31</v>
      </c>
      <c r="E189" s="4" t="s">
        <v>913</v>
      </c>
      <c r="F189" s="4" t="s">
        <v>177</v>
      </c>
      <c r="G189" s="4" t="s">
        <v>293</v>
      </c>
      <c r="H189" s="5">
        <v>6</v>
      </c>
      <c r="I189" s="3" t="s">
        <v>914</v>
      </c>
      <c r="J189" s="3" t="s">
        <v>36</v>
      </c>
      <c r="K189" s="3" t="s">
        <v>37</v>
      </c>
      <c r="L189" s="3"/>
      <c r="M189" s="3"/>
      <c r="N189" s="3"/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6">
        <v>1</v>
      </c>
      <c r="U189" s="6">
        <v>0</v>
      </c>
      <c r="V189" s="3"/>
      <c r="W189" s="3"/>
      <c r="X189" s="7">
        <f>설정!$B$4*H189+설정!$B$5*O189*(1+설정!$B$9*(O189-1))+설정!$B$6*P189*(1+설정!$B$9*(P189-1))+설정!$B$7*Q189*(1+설정!$B$9*(Q189-1))+설정!$B$8*R189*(1+설정!$B$9*(R189-1))</f>
        <v>330</v>
      </c>
      <c r="Y189" s="7">
        <f>설정!$B$10*(O189*(1+설정!$B$9*(O189-1))+P189*(1+설정!$B$9*(P189-1)))</f>
        <v>15</v>
      </c>
      <c r="Z189" s="7">
        <f t="shared" si="2"/>
        <v>9</v>
      </c>
      <c r="AA189" s="7">
        <f>X189*설정!$B$11</f>
        <v>33</v>
      </c>
      <c r="AB189" s="3"/>
    </row>
    <row r="190" spans="1:28">
      <c r="A190" s="3" t="s">
        <v>915</v>
      </c>
      <c r="B190" s="4" t="s">
        <v>916</v>
      </c>
      <c r="C190" s="4" t="s">
        <v>873</v>
      </c>
      <c r="D190" s="4" t="s">
        <v>31</v>
      </c>
      <c r="E190" s="4" t="s">
        <v>917</v>
      </c>
      <c r="F190" s="4" t="s">
        <v>177</v>
      </c>
      <c r="G190" s="4" t="s">
        <v>293</v>
      </c>
      <c r="H190" s="5">
        <v>5.9</v>
      </c>
      <c r="I190" s="3" t="s">
        <v>918</v>
      </c>
      <c r="J190" s="3" t="s">
        <v>36</v>
      </c>
      <c r="K190" s="3" t="s">
        <v>140</v>
      </c>
      <c r="L190" s="4" t="s">
        <v>876</v>
      </c>
      <c r="M190" s="3"/>
      <c r="N190" s="3"/>
      <c r="O190" s="6">
        <v>2</v>
      </c>
      <c r="P190" s="6">
        <v>2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3"/>
      <c r="W190" s="4" t="s">
        <v>919</v>
      </c>
      <c r="X190" s="7">
        <f>설정!$B$4*H190+설정!$B$5*O190*(1+설정!$B$9*(O190-1))+설정!$B$6*P190*(1+설정!$B$9*(P190-1))+설정!$B$7*Q190*(1+설정!$B$9*(Q190-1))+설정!$B$8*R190*(1+설정!$B$9*(R190-1))</f>
        <v>897</v>
      </c>
      <c r="Y190" s="7">
        <f>설정!$B$10*(O190*(1+설정!$B$9*(O190-1))+P190*(1+설정!$B$9*(P190-1)))</f>
        <v>72</v>
      </c>
      <c r="Z190" s="7">
        <f t="shared" si="2"/>
        <v>66.099999999999994</v>
      </c>
      <c r="AA190" s="7">
        <f>X190*설정!$B$11</f>
        <v>89.7</v>
      </c>
      <c r="AB190" s="3"/>
    </row>
    <row r="191" spans="1:28">
      <c r="A191" s="3" t="s">
        <v>920</v>
      </c>
      <c r="B191" s="4" t="s">
        <v>921</v>
      </c>
      <c r="C191" s="4" t="s">
        <v>873</v>
      </c>
      <c r="D191" s="4" t="s">
        <v>31</v>
      </c>
      <c r="E191" s="4" t="s">
        <v>922</v>
      </c>
      <c r="F191" s="4" t="s">
        <v>177</v>
      </c>
      <c r="G191" s="4" t="s">
        <v>293</v>
      </c>
      <c r="H191" s="5">
        <v>5.4</v>
      </c>
      <c r="I191" s="3" t="s">
        <v>923</v>
      </c>
      <c r="J191" s="3" t="s">
        <v>36</v>
      </c>
      <c r="K191" s="3" t="s">
        <v>140</v>
      </c>
      <c r="L191" s="4" t="s">
        <v>254</v>
      </c>
      <c r="M191" s="3"/>
      <c r="N191" s="3"/>
      <c r="O191" s="6">
        <v>2</v>
      </c>
      <c r="P191" s="6">
        <v>2</v>
      </c>
      <c r="Q191" s="6">
        <v>0</v>
      </c>
      <c r="R191" s="6">
        <v>0</v>
      </c>
      <c r="S191" s="6">
        <v>0</v>
      </c>
      <c r="T191" s="6">
        <v>0</v>
      </c>
      <c r="U191" s="6">
        <v>2</v>
      </c>
      <c r="V191" s="4" t="s">
        <v>924</v>
      </c>
      <c r="W191" s="4" t="s">
        <v>925</v>
      </c>
      <c r="X191" s="7">
        <f>설정!$B$4*H191+설정!$B$5*O191*(1+설정!$B$9*(O191-1))+설정!$B$6*P191*(1+설정!$B$9*(P191-1))+설정!$B$7*Q191*(1+설정!$B$9*(Q191-1))+설정!$B$8*R191*(1+설정!$B$9*(R191-1))</f>
        <v>882</v>
      </c>
      <c r="Y191" s="7">
        <f>설정!$B$10*(O191*(1+설정!$B$9*(O191-1))+P191*(1+설정!$B$9*(P191-1)))</f>
        <v>72</v>
      </c>
      <c r="Z191" s="7">
        <f t="shared" si="2"/>
        <v>66.599999999999994</v>
      </c>
      <c r="AA191" s="7">
        <f>X191*설정!$B$11</f>
        <v>88.2</v>
      </c>
      <c r="AB191" s="3"/>
    </row>
    <row r="192" spans="1:28">
      <c r="A192" s="3" t="s">
        <v>926</v>
      </c>
      <c r="B192" s="4" t="s">
        <v>927</v>
      </c>
      <c r="C192" s="4" t="s">
        <v>873</v>
      </c>
      <c r="D192" s="4" t="s">
        <v>31</v>
      </c>
      <c r="E192" s="4" t="s">
        <v>928</v>
      </c>
      <c r="F192" s="4" t="s">
        <v>177</v>
      </c>
      <c r="G192" s="4" t="s">
        <v>293</v>
      </c>
      <c r="H192" s="5">
        <v>5</v>
      </c>
      <c r="I192" s="3" t="s">
        <v>929</v>
      </c>
      <c r="J192" s="3" t="s">
        <v>36</v>
      </c>
      <c r="K192" s="3" t="s">
        <v>140</v>
      </c>
      <c r="L192" s="4" t="s">
        <v>254</v>
      </c>
      <c r="M192" s="3"/>
      <c r="N192" s="3"/>
      <c r="O192" s="6">
        <v>2</v>
      </c>
      <c r="P192" s="6">
        <v>1</v>
      </c>
      <c r="Q192" s="6">
        <v>1</v>
      </c>
      <c r="R192" s="6">
        <v>0</v>
      </c>
      <c r="S192" s="6">
        <v>0</v>
      </c>
      <c r="T192" s="6">
        <v>0</v>
      </c>
      <c r="U192" s="6">
        <v>0</v>
      </c>
      <c r="V192" s="3"/>
      <c r="W192" s="4" t="s">
        <v>930</v>
      </c>
      <c r="X192" s="7">
        <f>설정!$B$4*H192+설정!$B$5*O192*(1+설정!$B$9*(O192-1))+설정!$B$6*P192*(1+설정!$B$9*(P192-1))+설정!$B$7*Q192*(1+설정!$B$9*(Q192-1))+설정!$B$8*R192*(1+설정!$B$9*(R192-1))</f>
        <v>1660</v>
      </c>
      <c r="Y192" s="7">
        <f>설정!$B$10*(O192*(1+설정!$B$9*(O192-1))+P192*(1+설정!$B$9*(P192-1)))</f>
        <v>51</v>
      </c>
      <c r="Z192" s="7">
        <f t="shared" si="2"/>
        <v>46</v>
      </c>
      <c r="AA192" s="7">
        <f>X192*설정!$B$11</f>
        <v>166</v>
      </c>
      <c r="AB192" s="3"/>
    </row>
    <row r="193" spans="1:28">
      <c r="A193" s="3" t="s">
        <v>931</v>
      </c>
      <c r="B193" s="4" t="s">
        <v>932</v>
      </c>
      <c r="C193" s="4" t="s">
        <v>873</v>
      </c>
      <c r="D193" s="4" t="s">
        <v>31</v>
      </c>
      <c r="E193" s="4" t="s">
        <v>933</v>
      </c>
      <c r="F193" s="4" t="s">
        <v>177</v>
      </c>
      <c r="G193" s="4" t="s">
        <v>293</v>
      </c>
      <c r="H193" s="5">
        <v>4.4000000000000004</v>
      </c>
      <c r="I193" s="3" t="s">
        <v>934</v>
      </c>
      <c r="J193" s="3" t="s">
        <v>36</v>
      </c>
      <c r="K193" s="3" t="s">
        <v>140</v>
      </c>
      <c r="L193" s="4" t="s">
        <v>876</v>
      </c>
      <c r="M193" s="4" t="s">
        <v>199</v>
      </c>
      <c r="N193" s="3"/>
      <c r="O193" s="6">
        <v>1</v>
      </c>
      <c r="P193" s="6">
        <v>2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3"/>
      <c r="W193" s="4" t="s">
        <v>935</v>
      </c>
      <c r="X193" s="7">
        <f>설정!$B$4*H193+설정!$B$5*O193*(1+설정!$B$9*(O193-1))+설정!$B$6*P193*(1+설정!$B$9*(P193-1))+설정!$B$7*Q193*(1+설정!$B$9*(Q193-1))+설정!$B$8*R193*(1+설정!$B$9*(R193-1))</f>
        <v>642</v>
      </c>
      <c r="Y193" s="7">
        <f>설정!$B$10*(O193*(1+설정!$B$9*(O193-1))+P193*(1+설정!$B$9*(P193-1)))</f>
        <v>51</v>
      </c>
      <c r="Z193" s="7">
        <f t="shared" si="2"/>
        <v>46.6</v>
      </c>
      <c r="AA193" s="7">
        <f>X193*설정!$B$11</f>
        <v>64.2</v>
      </c>
      <c r="AB193" s="3"/>
    </row>
    <row r="194" spans="1:28">
      <c r="A194" s="3" t="s">
        <v>936</v>
      </c>
      <c r="B194" s="4" t="s">
        <v>937</v>
      </c>
      <c r="C194" s="4" t="s">
        <v>873</v>
      </c>
      <c r="D194" s="4" t="s">
        <v>31</v>
      </c>
      <c r="E194" s="4" t="s">
        <v>938</v>
      </c>
      <c r="F194" s="4" t="s">
        <v>177</v>
      </c>
      <c r="G194" s="4" t="s">
        <v>293</v>
      </c>
      <c r="H194" s="5">
        <v>4.4000000000000004</v>
      </c>
      <c r="I194" s="3" t="s">
        <v>939</v>
      </c>
      <c r="J194" s="3" t="s">
        <v>36</v>
      </c>
      <c r="K194" s="3" t="s">
        <v>37</v>
      </c>
      <c r="L194" s="3"/>
      <c r="M194" s="3"/>
      <c r="N194" s="3"/>
      <c r="O194" s="6">
        <v>2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3"/>
      <c r="W194" s="4" t="s">
        <v>940</v>
      </c>
      <c r="X194" s="7">
        <f>설정!$B$4*H194+설정!$B$5*O194*(1+설정!$B$9*(O194-1))+설정!$B$6*P194*(1+설정!$B$9*(P194-1))+설정!$B$7*Q194*(1+설정!$B$9*(Q194-1))+설정!$B$8*R194*(1+설정!$B$9*(R194-1))</f>
        <v>492</v>
      </c>
      <c r="Y194" s="7">
        <f>설정!$B$10*(O194*(1+설정!$B$9*(O194-1))+P194*(1+설정!$B$9*(P194-1)))</f>
        <v>36</v>
      </c>
      <c r="Z194" s="7">
        <f t="shared" ref="Z194:Z257" si="3">Y194-H194</f>
        <v>31.6</v>
      </c>
      <c r="AA194" s="7">
        <f>X194*설정!$B$11</f>
        <v>49.2</v>
      </c>
      <c r="AB194" s="3"/>
    </row>
    <row r="195" spans="1:28">
      <c r="A195" s="3" t="s">
        <v>941</v>
      </c>
      <c r="B195" s="4" t="s">
        <v>942</v>
      </c>
      <c r="C195" s="4" t="s">
        <v>873</v>
      </c>
      <c r="D195" s="4" t="s">
        <v>31</v>
      </c>
      <c r="E195" s="4" t="s">
        <v>943</v>
      </c>
      <c r="F195" s="4" t="s">
        <v>177</v>
      </c>
      <c r="G195" s="4" t="s">
        <v>293</v>
      </c>
      <c r="H195" s="5">
        <v>4.3</v>
      </c>
      <c r="I195" s="3" t="s">
        <v>944</v>
      </c>
      <c r="J195" s="3" t="s">
        <v>36</v>
      </c>
      <c r="K195" s="3" t="s">
        <v>37</v>
      </c>
      <c r="L195" s="3"/>
      <c r="M195" s="3"/>
      <c r="N195" s="3"/>
      <c r="O195" s="6">
        <v>2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3"/>
      <c r="W195" s="4" t="s">
        <v>945</v>
      </c>
      <c r="X195" s="7">
        <f>설정!$B$4*H195+설정!$B$5*O195*(1+설정!$B$9*(O195-1))+설정!$B$6*P195*(1+설정!$B$9*(P195-1))+설정!$B$7*Q195*(1+설정!$B$9*(Q195-1))+설정!$B$8*R195*(1+설정!$B$9*(R195-1))</f>
        <v>489</v>
      </c>
      <c r="Y195" s="7">
        <f>설정!$B$10*(O195*(1+설정!$B$9*(O195-1))+P195*(1+설정!$B$9*(P195-1)))</f>
        <v>36</v>
      </c>
      <c r="Z195" s="7">
        <f t="shared" si="3"/>
        <v>31.7</v>
      </c>
      <c r="AA195" s="7">
        <f>X195*설정!$B$11</f>
        <v>48.900000000000006</v>
      </c>
      <c r="AB195" s="3"/>
    </row>
    <row r="196" spans="1:28">
      <c r="A196" s="3" t="s">
        <v>946</v>
      </c>
      <c r="B196" s="4" t="s">
        <v>947</v>
      </c>
      <c r="C196" s="4" t="s">
        <v>873</v>
      </c>
      <c r="D196" s="4" t="s">
        <v>31</v>
      </c>
      <c r="E196" s="4" t="s">
        <v>948</v>
      </c>
      <c r="F196" s="4" t="s">
        <v>177</v>
      </c>
      <c r="G196" s="4" t="s">
        <v>293</v>
      </c>
      <c r="H196" s="5">
        <v>4.2</v>
      </c>
      <c r="I196" s="3" t="s">
        <v>949</v>
      </c>
      <c r="J196" s="3" t="s">
        <v>36</v>
      </c>
      <c r="K196" s="3" t="s">
        <v>140</v>
      </c>
      <c r="L196" s="4" t="s">
        <v>254</v>
      </c>
      <c r="M196" s="4" t="s">
        <v>199</v>
      </c>
      <c r="N196" s="3"/>
      <c r="O196" s="6">
        <v>1</v>
      </c>
      <c r="P196" s="6">
        <v>2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3"/>
      <c r="W196" s="4" t="s">
        <v>950</v>
      </c>
      <c r="X196" s="7">
        <f>설정!$B$4*H196+설정!$B$5*O196*(1+설정!$B$9*(O196-1))+설정!$B$6*P196*(1+설정!$B$9*(P196-1))+설정!$B$7*Q196*(1+설정!$B$9*(Q196-1))+설정!$B$8*R196*(1+설정!$B$9*(R196-1))</f>
        <v>636</v>
      </c>
      <c r="Y196" s="7">
        <f>설정!$B$10*(O196*(1+설정!$B$9*(O196-1))+P196*(1+설정!$B$9*(P196-1)))</f>
        <v>51</v>
      </c>
      <c r="Z196" s="7">
        <f t="shared" si="3"/>
        <v>46.8</v>
      </c>
      <c r="AA196" s="7">
        <f>X196*설정!$B$11</f>
        <v>63.6</v>
      </c>
      <c r="AB196" s="3"/>
    </row>
    <row r="197" spans="1:28">
      <c r="A197" s="3" t="s">
        <v>951</v>
      </c>
      <c r="B197" s="4" t="s">
        <v>952</v>
      </c>
      <c r="C197" s="4" t="s">
        <v>873</v>
      </c>
      <c r="D197" s="4" t="s">
        <v>31</v>
      </c>
      <c r="E197" s="4" t="s">
        <v>953</v>
      </c>
      <c r="F197" s="4" t="s">
        <v>177</v>
      </c>
      <c r="G197" s="4" t="s">
        <v>293</v>
      </c>
      <c r="H197" s="5">
        <v>3.8</v>
      </c>
      <c r="I197" s="3" t="s">
        <v>954</v>
      </c>
      <c r="J197" s="3" t="s">
        <v>36</v>
      </c>
      <c r="K197" s="3" t="s">
        <v>140</v>
      </c>
      <c r="L197" s="4" t="s">
        <v>876</v>
      </c>
      <c r="M197" s="3"/>
      <c r="N197" s="3"/>
      <c r="O197" s="6">
        <v>2</v>
      </c>
      <c r="P197" s="6">
        <v>1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3"/>
      <c r="W197" s="4" t="s">
        <v>955</v>
      </c>
      <c r="X197" s="7">
        <f>설정!$B$4*H197+설정!$B$5*O197*(1+설정!$B$9*(O197-1))+설정!$B$6*P197*(1+설정!$B$9*(P197-1))+설정!$B$7*Q197*(1+설정!$B$9*(Q197-1))+설정!$B$8*R197*(1+설정!$B$9*(R197-1))</f>
        <v>624</v>
      </c>
      <c r="Y197" s="7">
        <f>설정!$B$10*(O197*(1+설정!$B$9*(O197-1))+P197*(1+설정!$B$9*(P197-1)))</f>
        <v>51</v>
      </c>
      <c r="Z197" s="7">
        <f t="shared" si="3"/>
        <v>47.2</v>
      </c>
      <c r="AA197" s="7">
        <f>X197*설정!$B$11</f>
        <v>62.400000000000006</v>
      </c>
      <c r="AB197" s="3"/>
    </row>
    <row r="198" spans="1:28">
      <c r="A198" s="3" t="s">
        <v>956</v>
      </c>
      <c r="B198" s="4" t="s">
        <v>957</v>
      </c>
      <c r="C198" s="4" t="s">
        <v>873</v>
      </c>
      <c r="D198" s="4" t="s">
        <v>31</v>
      </c>
      <c r="E198" s="4" t="s">
        <v>958</v>
      </c>
      <c r="F198" s="4" t="s">
        <v>177</v>
      </c>
      <c r="G198" s="4" t="s">
        <v>293</v>
      </c>
      <c r="H198" s="5">
        <v>3.4</v>
      </c>
      <c r="I198" s="3" t="s">
        <v>959</v>
      </c>
      <c r="J198" s="3" t="s">
        <v>36</v>
      </c>
      <c r="K198" s="3" t="s">
        <v>140</v>
      </c>
      <c r="L198" s="4" t="s">
        <v>876</v>
      </c>
      <c r="M198" s="3"/>
      <c r="N198" s="3"/>
      <c r="O198" s="6">
        <v>2</v>
      </c>
      <c r="P198" s="6">
        <v>1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3"/>
      <c r="W198" s="4" t="s">
        <v>960</v>
      </c>
      <c r="X198" s="7">
        <f>설정!$B$4*H198+설정!$B$5*O198*(1+설정!$B$9*(O198-1))+설정!$B$6*P198*(1+설정!$B$9*(P198-1))+설정!$B$7*Q198*(1+설정!$B$9*(Q198-1))+설정!$B$8*R198*(1+설정!$B$9*(R198-1))</f>
        <v>612</v>
      </c>
      <c r="Y198" s="7">
        <f>설정!$B$10*(O198*(1+설정!$B$9*(O198-1))+P198*(1+설정!$B$9*(P198-1)))</f>
        <v>51</v>
      </c>
      <c r="Z198" s="7">
        <f t="shared" si="3"/>
        <v>47.6</v>
      </c>
      <c r="AA198" s="7">
        <f>X198*설정!$B$11</f>
        <v>61.2</v>
      </c>
      <c r="AB198" s="3"/>
    </row>
    <row r="199" spans="1:28">
      <c r="A199" s="3" t="s">
        <v>961</v>
      </c>
      <c r="B199" s="4" t="s">
        <v>962</v>
      </c>
      <c r="C199" s="4" t="s">
        <v>873</v>
      </c>
      <c r="D199" s="4" t="s">
        <v>31</v>
      </c>
      <c r="E199" s="4" t="s">
        <v>963</v>
      </c>
      <c r="F199" s="4" t="s">
        <v>177</v>
      </c>
      <c r="G199" s="4" t="s">
        <v>293</v>
      </c>
      <c r="H199" s="5">
        <v>3.2</v>
      </c>
      <c r="I199" s="3" t="s">
        <v>964</v>
      </c>
      <c r="J199" s="3" t="s">
        <v>36</v>
      </c>
      <c r="K199" s="3" t="s">
        <v>140</v>
      </c>
      <c r="L199" s="4" t="s">
        <v>876</v>
      </c>
      <c r="M199" s="3"/>
      <c r="N199" s="3"/>
      <c r="O199" s="6">
        <v>2</v>
      </c>
      <c r="P199" s="6">
        <v>1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3"/>
      <c r="W199" s="3"/>
      <c r="X199" s="7">
        <f>설정!$B$4*H199+설정!$B$5*O199*(1+설정!$B$9*(O199-1))+설정!$B$6*P199*(1+설정!$B$9*(P199-1))+설정!$B$7*Q199*(1+설정!$B$9*(Q199-1))+설정!$B$8*R199*(1+설정!$B$9*(R199-1))</f>
        <v>606</v>
      </c>
      <c r="Y199" s="7">
        <f>설정!$B$10*(O199*(1+설정!$B$9*(O199-1))+P199*(1+설정!$B$9*(P199-1)))</f>
        <v>51</v>
      </c>
      <c r="Z199" s="7">
        <f t="shared" si="3"/>
        <v>47.8</v>
      </c>
      <c r="AA199" s="7">
        <f>X199*설정!$B$11</f>
        <v>60.6</v>
      </c>
      <c r="AB199" s="3"/>
    </row>
    <row r="200" spans="1:28">
      <c r="A200" s="3" t="s">
        <v>965</v>
      </c>
      <c r="B200" s="4" t="s">
        <v>966</v>
      </c>
      <c r="C200" s="4" t="s">
        <v>873</v>
      </c>
      <c r="D200" s="4" t="s">
        <v>31</v>
      </c>
      <c r="E200" s="4" t="s">
        <v>967</v>
      </c>
      <c r="F200" s="4" t="s">
        <v>177</v>
      </c>
      <c r="G200" s="4" t="s">
        <v>293</v>
      </c>
      <c r="H200" s="5">
        <v>3</v>
      </c>
      <c r="I200" s="3" t="s">
        <v>968</v>
      </c>
      <c r="J200" s="3" t="s">
        <v>36</v>
      </c>
      <c r="K200" s="3" t="s">
        <v>140</v>
      </c>
      <c r="L200" s="4" t="s">
        <v>254</v>
      </c>
      <c r="M200" s="3"/>
      <c r="N200" s="3"/>
      <c r="O200" s="6">
        <v>2</v>
      </c>
      <c r="P200" s="6">
        <v>1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3"/>
      <c r="W200" s="4" t="s">
        <v>969</v>
      </c>
      <c r="X200" s="7">
        <f>설정!$B$4*H200+설정!$B$5*O200*(1+설정!$B$9*(O200-1))+설정!$B$6*P200*(1+설정!$B$9*(P200-1))+설정!$B$7*Q200*(1+설정!$B$9*(Q200-1))+설정!$B$8*R200*(1+설정!$B$9*(R200-1))</f>
        <v>600</v>
      </c>
      <c r="Y200" s="7">
        <f>설정!$B$10*(O200*(1+설정!$B$9*(O200-1))+P200*(1+설정!$B$9*(P200-1)))</f>
        <v>51</v>
      </c>
      <c r="Z200" s="7">
        <f t="shared" si="3"/>
        <v>48</v>
      </c>
      <c r="AA200" s="7">
        <f>X200*설정!$B$11</f>
        <v>60</v>
      </c>
      <c r="AB200" s="3"/>
    </row>
    <row r="201" spans="1:28">
      <c r="A201" s="3" t="s">
        <v>970</v>
      </c>
      <c r="B201" s="4" t="s">
        <v>971</v>
      </c>
      <c r="C201" s="4" t="s">
        <v>873</v>
      </c>
      <c r="D201" s="4" t="s">
        <v>31</v>
      </c>
      <c r="E201" s="4" t="s">
        <v>972</v>
      </c>
      <c r="F201" s="4" t="s">
        <v>177</v>
      </c>
      <c r="G201" s="4" t="s">
        <v>293</v>
      </c>
      <c r="H201" s="5">
        <v>2.8</v>
      </c>
      <c r="I201" s="3" t="s">
        <v>973</v>
      </c>
      <c r="J201" s="3" t="s">
        <v>36</v>
      </c>
      <c r="K201" s="3" t="s">
        <v>140</v>
      </c>
      <c r="L201" s="4" t="s">
        <v>909</v>
      </c>
      <c r="M201" s="4" t="s">
        <v>199</v>
      </c>
      <c r="N201" s="3"/>
      <c r="O201" s="6">
        <v>1</v>
      </c>
      <c r="P201" s="6">
        <v>2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3"/>
      <c r="W201" s="4" t="s">
        <v>974</v>
      </c>
      <c r="X201" s="7">
        <f>설정!$B$4*H201+설정!$B$5*O201*(1+설정!$B$9*(O201-1))+설정!$B$6*P201*(1+설정!$B$9*(P201-1))+설정!$B$7*Q201*(1+설정!$B$9*(Q201-1))+설정!$B$8*R201*(1+설정!$B$9*(R201-1))</f>
        <v>594</v>
      </c>
      <c r="Y201" s="7">
        <f>설정!$B$10*(O201*(1+설정!$B$9*(O201-1))+P201*(1+설정!$B$9*(P201-1)))</f>
        <v>51</v>
      </c>
      <c r="Z201" s="7">
        <f t="shared" si="3"/>
        <v>48.2</v>
      </c>
      <c r="AA201" s="7">
        <f>X201*설정!$B$11</f>
        <v>59.400000000000006</v>
      </c>
      <c r="AB201" s="3"/>
    </row>
    <row r="202" spans="1:28">
      <c r="A202" s="3" t="s">
        <v>975</v>
      </c>
      <c r="B202" s="4" t="s">
        <v>976</v>
      </c>
      <c r="C202" s="4" t="s">
        <v>873</v>
      </c>
      <c r="D202" s="4" t="s">
        <v>31</v>
      </c>
      <c r="E202" s="4" t="s">
        <v>977</v>
      </c>
      <c r="F202" s="4" t="s">
        <v>177</v>
      </c>
      <c r="G202" s="4" t="s">
        <v>293</v>
      </c>
      <c r="H202" s="5">
        <v>2.8</v>
      </c>
      <c r="I202" s="3" t="s">
        <v>978</v>
      </c>
      <c r="J202" s="3" t="s">
        <v>36</v>
      </c>
      <c r="K202" s="3" t="s">
        <v>37</v>
      </c>
      <c r="L202" s="3"/>
      <c r="M202" s="3"/>
      <c r="N202" s="3"/>
      <c r="O202" s="6">
        <v>1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3"/>
      <c r="W202" s="4" t="s">
        <v>979</v>
      </c>
      <c r="X202" s="7">
        <f>설정!$B$4*H202+설정!$B$5*O202*(1+설정!$B$9*(O202-1))+설정!$B$6*P202*(1+설정!$B$9*(P202-1))+설정!$B$7*Q202*(1+설정!$B$9*(Q202-1))+설정!$B$8*R202*(1+설정!$B$9*(R202-1))</f>
        <v>234</v>
      </c>
      <c r="Y202" s="7">
        <f>설정!$B$10*(O202*(1+설정!$B$9*(O202-1))+P202*(1+설정!$B$9*(P202-1)))</f>
        <v>15</v>
      </c>
      <c r="Z202" s="7">
        <f t="shared" si="3"/>
        <v>12.2</v>
      </c>
      <c r="AA202" s="7">
        <f>X202*설정!$B$11</f>
        <v>23.400000000000002</v>
      </c>
      <c r="AB202" s="3"/>
    </row>
    <row r="203" spans="1:28">
      <c r="A203" s="3" t="s">
        <v>980</v>
      </c>
      <c r="B203" s="4" t="s">
        <v>981</v>
      </c>
      <c r="C203" s="4" t="s">
        <v>873</v>
      </c>
      <c r="D203" s="4" t="s">
        <v>31</v>
      </c>
      <c r="E203" s="4" t="s">
        <v>982</v>
      </c>
      <c r="F203" s="4" t="s">
        <v>177</v>
      </c>
      <c r="G203" s="4" t="s">
        <v>293</v>
      </c>
      <c r="H203" s="5">
        <v>2.5</v>
      </c>
      <c r="I203" s="3" t="s">
        <v>983</v>
      </c>
      <c r="J203" s="3" t="s">
        <v>36</v>
      </c>
      <c r="K203" s="3" t="s">
        <v>37</v>
      </c>
      <c r="L203" s="3"/>
      <c r="M203" s="3"/>
      <c r="N203" s="3"/>
      <c r="O203" s="6">
        <v>1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3"/>
      <c r="W203" s="4" t="s">
        <v>984</v>
      </c>
      <c r="X203" s="7">
        <f>설정!$B$4*H203+설정!$B$5*O203*(1+설정!$B$9*(O203-1))+설정!$B$6*P203*(1+설정!$B$9*(P203-1))+설정!$B$7*Q203*(1+설정!$B$9*(Q203-1))+설정!$B$8*R203*(1+설정!$B$9*(R203-1))</f>
        <v>225</v>
      </c>
      <c r="Y203" s="7">
        <f>설정!$B$10*(O203*(1+설정!$B$9*(O203-1))+P203*(1+설정!$B$9*(P203-1)))</f>
        <v>15</v>
      </c>
      <c r="Z203" s="7">
        <f t="shared" si="3"/>
        <v>12.5</v>
      </c>
      <c r="AA203" s="7">
        <f>X203*설정!$B$11</f>
        <v>22.5</v>
      </c>
      <c r="AB203" s="3"/>
    </row>
    <row r="204" spans="1:28">
      <c r="A204" s="3" t="s">
        <v>985</v>
      </c>
      <c r="B204" s="4" t="s">
        <v>986</v>
      </c>
      <c r="C204" s="4" t="s">
        <v>987</v>
      </c>
      <c r="D204" s="4" t="s">
        <v>31</v>
      </c>
      <c r="E204" s="4" t="s">
        <v>988</v>
      </c>
      <c r="F204" s="4" t="s">
        <v>362</v>
      </c>
      <c r="G204" s="4" t="s">
        <v>138</v>
      </c>
      <c r="H204" s="5">
        <v>48.7</v>
      </c>
      <c r="I204" s="3" t="s">
        <v>989</v>
      </c>
      <c r="J204" s="3" t="s">
        <v>36</v>
      </c>
      <c r="K204" s="3" t="s">
        <v>140</v>
      </c>
      <c r="L204" s="4" t="s">
        <v>338</v>
      </c>
      <c r="M204" s="3"/>
      <c r="N204" s="3"/>
      <c r="O204" s="6">
        <v>1</v>
      </c>
      <c r="P204" s="6">
        <v>2</v>
      </c>
      <c r="Q204" s="6">
        <v>2</v>
      </c>
      <c r="R204" s="6">
        <v>1</v>
      </c>
      <c r="S204" s="6">
        <v>0</v>
      </c>
      <c r="T204" s="6">
        <v>0</v>
      </c>
      <c r="U204" s="6">
        <v>0</v>
      </c>
      <c r="V204" s="3"/>
      <c r="W204" s="4" t="s">
        <v>990</v>
      </c>
      <c r="X204" s="7">
        <f>설정!$B$4*H204+설정!$B$5*O204*(1+설정!$B$9*(O204-1))+설정!$B$6*P204*(1+설정!$B$9*(P204-1))+설정!$B$7*Q204*(1+설정!$B$9*(Q204-1))+설정!$B$8*R204*(1+설정!$B$9*(R204-1))</f>
        <v>4971</v>
      </c>
      <c r="Y204" s="7">
        <f>설정!$B$10*(O204*(1+설정!$B$9*(O204-1))+P204*(1+설정!$B$9*(P204-1)))</f>
        <v>51</v>
      </c>
      <c r="Z204" s="7">
        <f t="shared" si="3"/>
        <v>2.2999999999999972</v>
      </c>
      <c r="AA204" s="7">
        <f>X204*설정!$B$11</f>
        <v>497.1</v>
      </c>
      <c r="AB204" s="3"/>
    </row>
    <row r="205" spans="1:28">
      <c r="A205" s="3" t="s">
        <v>991</v>
      </c>
      <c r="B205" s="4" t="s">
        <v>992</v>
      </c>
      <c r="C205" s="4" t="s">
        <v>987</v>
      </c>
      <c r="D205" s="4" t="s">
        <v>31</v>
      </c>
      <c r="E205" s="4" t="s">
        <v>993</v>
      </c>
      <c r="F205" s="4" t="s">
        <v>362</v>
      </c>
      <c r="G205" s="4" t="s">
        <v>138</v>
      </c>
      <c r="H205" s="5">
        <v>40.299999999999997</v>
      </c>
      <c r="I205" s="3" t="s">
        <v>994</v>
      </c>
      <c r="J205" s="3" t="s">
        <v>36</v>
      </c>
      <c r="K205" s="3" t="s">
        <v>37</v>
      </c>
      <c r="L205" s="3"/>
      <c r="M205" s="3"/>
      <c r="N205" s="3"/>
      <c r="O205" s="6">
        <v>1</v>
      </c>
      <c r="P205" s="6">
        <v>0</v>
      </c>
      <c r="Q205" s="6">
        <v>2</v>
      </c>
      <c r="R205" s="6">
        <v>1</v>
      </c>
      <c r="S205" s="6">
        <v>0</v>
      </c>
      <c r="T205" s="6">
        <v>0</v>
      </c>
      <c r="U205" s="6">
        <v>0</v>
      </c>
      <c r="V205" s="3"/>
      <c r="W205" s="3"/>
      <c r="X205" s="7">
        <f>설정!$B$4*H205+설정!$B$5*O205*(1+설정!$B$9*(O205-1))+설정!$B$6*P205*(1+설정!$B$9*(P205-1))+설정!$B$7*Q205*(1+설정!$B$9*(Q205-1))+설정!$B$8*R205*(1+설정!$B$9*(R205-1))</f>
        <v>4359</v>
      </c>
      <c r="Y205" s="7">
        <f>설정!$B$10*(O205*(1+설정!$B$9*(O205-1))+P205*(1+설정!$B$9*(P205-1)))</f>
        <v>15</v>
      </c>
      <c r="Z205" s="7">
        <f t="shared" si="3"/>
        <v>-25.299999999999997</v>
      </c>
      <c r="AA205" s="7">
        <f>X205*설정!$B$11</f>
        <v>435.90000000000003</v>
      </c>
      <c r="AB205" s="3"/>
    </row>
    <row r="206" spans="1:28">
      <c r="A206" s="3" t="s">
        <v>995</v>
      </c>
      <c r="B206" s="4" t="s">
        <v>996</v>
      </c>
      <c r="C206" s="4" t="s">
        <v>987</v>
      </c>
      <c r="D206" s="4" t="s">
        <v>31</v>
      </c>
      <c r="E206" s="4" t="s">
        <v>997</v>
      </c>
      <c r="F206" s="4" t="s">
        <v>362</v>
      </c>
      <c r="G206" s="4" t="s">
        <v>138</v>
      </c>
      <c r="H206" s="5">
        <v>26.3</v>
      </c>
      <c r="I206" s="3" t="s">
        <v>998</v>
      </c>
      <c r="J206" s="3" t="s">
        <v>36</v>
      </c>
      <c r="K206" s="3" t="s">
        <v>37</v>
      </c>
      <c r="L206" s="3"/>
      <c r="M206" s="3"/>
      <c r="N206" s="3"/>
      <c r="O206" s="6">
        <v>1</v>
      </c>
      <c r="P206" s="6">
        <v>0</v>
      </c>
      <c r="Q206" s="6">
        <v>1</v>
      </c>
      <c r="R206" s="6">
        <v>1</v>
      </c>
      <c r="S206" s="6">
        <v>0</v>
      </c>
      <c r="T206" s="6">
        <v>0</v>
      </c>
      <c r="U206" s="6">
        <v>0</v>
      </c>
      <c r="V206" s="3"/>
      <c r="W206" s="4" t="s">
        <v>999</v>
      </c>
      <c r="X206" s="7">
        <f>설정!$B$4*H206+설정!$B$5*O206*(1+설정!$B$9*(O206-1))+설정!$B$6*P206*(1+설정!$B$9*(P206-1))+설정!$B$7*Q206*(1+설정!$B$9*(Q206-1))+설정!$B$8*R206*(1+설정!$B$9*(R206-1))</f>
        <v>2539</v>
      </c>
      <c r="Y206" s="7">
        <f>설정!$B$10*(O206*(1+설정!$B$9*(O206-1))+P206*(1+설정!$B$9*(P206-1)))</f>
        <v>15</v>
      </c>
      <c r="Z206" s="7">
        <f t="shared" si="3"/>
        <v>-11.3</v>
      </c>
      <c r="AA206" s="7">
        <f>X206*설정!$B$11</f>
        <v>253.9</v>
      </c>
      <c r="AB206" s="3"/>
    </row>
    <row r="207" spans="1:28">
      <c r="A207" s="3" t="s">
        <v>1000</v>
      </c>
      <c r="B207" s="4" t="s">
        <v>1001</v>
      </c>
      <c r="C207" s="4" t="s">
        <v>987</v>
      </c>
      <c r="D207" s="4" t="s">
        <v>31</v>
      </c>
      <c r="E207" s="4" t="s">
        <v>1002</v>
      </c>
      <c r="F207" s="4" t="s">
        <v>362</v>
      </c>
      <c r="G207" s="4" t="s">
        <v>138</v>
      </c>
      <c r="H207" s="5">
        <v>24.3</v>
      </c>
      <c r="I207" s="3" t="s">
        <v>1003</v>
      </c>
      <c r="J207" s="3" t="s">
        <v>36</v>
      </c>
      <c r="K207" s="3" t="s">
        <v>140</v>
      </c>
      <c r="L207" s="4" t="s">
        <v>338</v>
      </c>
      <c r="M207" s="3"/>
      <c r="N207" s="3"/>
      <c r="O207" s="6">
        <v>2</v>
      </c>
      <c r="P207" s="6">
        <v>1</v>
      </c>
      <c r="Q207" s="6">
        <v>1</v>
      </c>
      <c r="R207" s="6">
        <v>1</v>
      </c>
      <c r="S207" s="6">
        <v>0</v>
      </c>
      <c r="T207" s="6">
        <v>0</v>
      </c>
      <c r="U207" s="6">
        <v>2</v>
      </c>
      <c r="V207" s="4" t="s">
        <v>1004</v>
      </c>
      <c r="W207" s="4" t="s">
        <v>1005</v>
      </c>
      <c r="X207" s="7">
        <f>설정!$B$4*H207+설정!$B$5*O207*(1+설정!$B$9*(O207-1))+설정!$B$6*P207*(1+설정!$B$9*(P207-1))+설정!$B$7*Q207*(1+설정!$B$9*(Q207-1))+설정!$B$8*R207*(1+설정!$B$9*(R207-1))</f>
        <v>2839</v>
      </c>
      <c r="Y207" s="7">
        <f>설정!$B$10*(O207*(1+설정!$B$9*(O207-1))+P207*(1+설정!$B$9*(P207-1)))</f>
        <v>51</v>
      </c>
      <c r="Z207" s="7">
        <f t="shared" si="3"/>
        <v>26.7</v>
      </c>
      <c r="AA207" s="7">
        <f>X207*설정!$B$11</f>
        <v>283.90000000000003</v>
      </c>
      <c r="AB207" s="3"/>
    </row>
    <row r="208" spans="1:28">
      <c r="A208" s="3" t="s">
        <v>1006</v>
      </c>
      <c r="B208" s="4" t="s">
        <v>1007</v>
      </c>
      <c r="C208" s="4" t="s">
        <v>987</v>
      </c>
      <c r="D208" s="4" t="s">
        <v>31</v>
      </c>
      <c r="E208" s="4" t="s">
        <v>1008</v>
      </c>
      <c r="F208" s="4" t="s">
        <v>362</v>
      </c>
      <c r="G208" s="4" t="s">
        <v>138</v>
      </c>
      <c r="H208" s="5">
        <v>15.1</v>
      </c>
      <c r="I208" s="3" t="s">
        <v>1009</v>
      </c>
      <c r="J208" s="3" t="s">
        <v>36</v>
      </c>
      <c r="K208" s="3" t="s">
        <v>37</v>
      </c>
      <c r="L208" s="3"/>
      <c r="M208" s="3"/>
      <c r="N208" s="3"/>
      <c r="O208" s="6">
        <v>2</v>
      </c>
      <c r="P208" s="6">
        <v>0</v>
      </c>
      <c r="Q208" s="6">
        <v>1</v>
      </c>
      <c r="R208" s="6">
        <v>1</v>
      </c>
      <c r="S208" s="6">
        <v>0</v>
      </c>
      <c r="T208" s="6">
        <v>0</v>
      </c>
      <c r="U208" s="6">
        <v>0</v>
      </c>
      <c r="V208" s="3"/>
      <c r="W208" s="4" t="s">
        <v>1010</v>
      </c>
      <c r="X208" s="7">
        <f>설정!$B$4*H208+설정!$B$5*O208*(1+설정!$B$9*(O208-1))+설정!$B$6*P208*(1+설정!$B$9*(P208-1))+설정!$B$7*Q208*(1+설정!$B$9*(Q208-1))+설정!$B$8*R208*(1+설정!$B$9*(R208-1))</f>
        <v>2413</v>
      </c>
      <c r="Y208" s="7">
        <f>설정!$B$10*(O208*(1+설정!$B$9*(O208-1))+P208*(1+설정!$B$9*(P208-1)))</f>
        <v>36</v>
      </c>
      <c r="Z208" s="7">
        <f t="shared" si="3"/>
        <v>20.9</v>
      </c>
      <c r="AA208" s="7">
        <f>X208*설정!$B$11</f>
        <v>241.3</v>
      </c>
      <c r="AB208" s="3"/>
    </row>
    <row r="209" spans="1:28">
      <c r="A209" s="3" t="s">
        <v>1011</v>
      </c>
      <c r="B209" s="4" t="s">
        <v>1012</v>
      </c>
      <c r="C209" s="4" t="s">
        <v>987</v>
      </c>
      <c r="D209" s="4" t="s">
        <v>31</v>
      </c>
      <c r="E209" s="4" t="s">
        <v>1013</v>
      </c>
      <c r="F209" s="4" t="s">
        <v>362</v>
      </c>
      <c r="G209" s="4" t="s">
        <v>138</v>
      </c>
      <c r="H209" s="5">
        <v>13.2</v>
      </c>
      <c r="I209" s="3" t="s">
        <v>1014</v>
      </c>
      <c r="J209" s="3" t="s">
        <v>36</v>
      </c>
      <c r="K209" s="3" t="s">
        <v>37</v>
      </c>
      <c r="L209" s="3"/>
      <c r="M209" s="3"/>
      <c r="N209" s="3"/>
      <c r="O209" s="6">
        <v>2</v>
      </c>
      <c r="P209" s="6">
        <v>0</v>
      </c>
      <c r="Q209" s="6">
        <v>1</v>
      </c>
      <c r="R209" s="6">
        <v>1</v>
      </c>
      <c r="S209" s="6">
        <v>0</v>
      </c>
      <c r="T209" s="6">
        <v>0</v>
      </c>
      <c r="U209" s="6">
        <v>0</v>
      </c>
      <c r="V209" s="3"/>
      <c r="W209" s="4" t="s">
        <v>1015</v>
      </c>
      <c r="X209" s="7">
        <f>설정!$B$4*H209+설정!$B$5*O209*(1+설정!$B$9*(O209-1))+설정!$B$6*P209*(1+설정!$B$9*(P209-1))+설정!$B$7*Q209*(1+설정!$B$9*(Q209-1))+설정!$B$8*R209*(1+설정!$B$9*(R209-1))</f>
        <v>2356</v>
      </c>
      <c r="Y209" s="7">
        <f>설정!$B$10*(O209*(1+설정!$B$9*(O209-1))+P209*(1+설정!$B$9*(P209-1)))</f>
        <v>36</v>
      </c>
      <c r="Z209" s="7">
        <f t="shared" si="3"/>
        <v>22.8</v>
      </c>
      <c r="AA209" s="7">
        <f>X209*설정!$B$11</f>
        <v>235.60000000000002</v>
      </c>
      <c r="AB209" s="3"/>
    </row>
    <row r="210" spans="1:28">
      <c r="A210" s="3" t="s">
        <v>1016</v>
      </c>
      <c r="B210" s="4" t="s">
        <v>1017</v>
      </c>
      <c r="C210" s="4" t="s">
        <v>987</v>
      </c>
      <c r="D210" s="4" t="s">
        <v>31</v>
      </c>
      <c r="E210" s="4" t="s">
        <v>1018</v>
      </c>
      <c r="F210" s="4" t="s">
        <v>177</v>
      </c>
      <c r="G210" s="4" t="s">
        <v>138</v>
      </c>
      <c r="H210" s="5">
        <v>10.3</v>
      </c>
      <c r="I210" s="3" t="s">
        <v>1019</v>
      </c>
      <c r="J210" s="3" t="s">
        <v>36</v>
      </c>
      <c r="K210" s="3" t="s">
        <v>37</v>
      </c>
      <c r="L210" s="3"/>
      <c r="M210" s="3"/>
      <c r="N210" s="3"/>
      <c r="O210" s="6">
        <v>1</v>
      </c>
      <c r="P210" s="6">
        <v>0</v>
      </c>
      <c r="Q210" s="6">
        <v>1</v>
      </c>
      <c r="R210" s="6">
        <v>1</v>
      </c>
      <c r="S210" s="6">
        <v>0</v>
      </c>
      <c r="T210" s="6">
        <v>0</v>
      </c>
      <c r="U210" s="6">
        <v>0</v>
      </c>
      <c r="V210" s="3"/>
      <c r="W210" s="3"/>
      <c r="X210" s="7">
        <f>설정!$B$4*H210+설정!$B$5*O210*(1+설정!$B$9*(O210-1))+설정!$B$6*P210*(1+설정!$B$9*(P210-1))+설정!$B$7*Q210*(1+설정!$B$9*(Q210-1))+설정!$B$8*R210*(1+설정!$B$9*(R210-1))</f>
        <v>2059</v>
      </c>
      <c r="Y210" s="7">
        <f>설정!$B$10*(O210*(1+설정!$B$9*(O210-1))+P210*(1+설정!$B$9*(P210-1)))</f>
        <v>15</v>
      </c>
      <c r="Z210" s="7">
        <f t="shared" si="3"/>
        <v>4.6999999999999993</v>
      </c>
      <c r="AA210" s="7">
        <f>X210*설정!$B$11</f>
        <v>205.9</v>
      </c>
      <c r="AB210" s="3"/>
    </row>
    <row r="211" spans="1:28">
      <c r="A211" s="3" t="s">
        <v>1020</v>
      </c>
      <c r="B211" s="4" t="s">
        <v>1021</v>
      </c>
      <c r="C211" s="4" t="s">
        <v>987</v>
      </c>
      <c r="D211" s="4" t="s">
        <v>31</v>
      </c>
      <c r="E211" s="4" t="s">
        <v>1022</v>
      </c>
      <c r="F211" s="4" t="s">
        <v>362</v>
      </c>
      <c r="G211" s="4" t="s">
        <v>138</v>
      </c>
      <c r="H211" s="5">
        <v>9.6</v>
      </c>
      <c r="I211" s="3" t="s">
        <v>1023</v>
      </c>
      <c r="J211" s="3" t="s">
        <v>36</v>
      </c>
      <c r="K211" s="3" t="s">
        <v>37</v>
      </c>
      <c r="L211" s="3"/>
      <c r="M211" s="3"/>
      <c r="N211" s="3"/>
      <c r="O211" s="6">
        <v>2</v>
      </c>
      <c r="P211" s="6">
        <v>0</v>
      </c>
      <c r="Q211" s="6">
        <v>0</v>
      </c>
      <c r="R211" s="6">
        <v>1</v>
      </c>
      <c r="S211" s="6">
        <v>0</v>
      </c>
      <c r="T211" s="6">
        <v>0</v>
      </c>
      <c r="U211" s="6">
        <v>0</v>
      </c>
      <c r="V211" s="3"/>
      <c r="W211" s="4" t="s">
        <v>1024</v>
      </c>
      <c r="X211" s="7">
        <f>설정!$B$4*H211+설정!$B$5*O211*(1+설정!$B$9*(O211-1))+설정!$B$6*P211*(1+설정!$B$9*(P211-1))+설정!$B$7*Q211*(1+설정!$B$9*(Q211-1))+설정!$B$8*R211*(1+설정!$B$9*(R211-1))</f>
        <v>1248</v>
      </c>
      <c r="Y211" s="7">
        <f>설정!$B$10*(O211*(1+설정!$B$9*(O211-1))+P211*(1+설정!$B$9*(P211-1)))</f>
        <v>36</v>
      </c>
      <c r="Z211" s="7">
        <f t="shared" si="3"/>
        <v>26.4</v>
      </c>
      <c r="AA211" s="7">
        <f>X211*설정!$B$11</f>
        <v>124.80000000000001</v>
      </c>
      <c r="AB211" s="3"/>
    </row>
    <row r="212" spans="1:28">
      <c r="A212" s="3" t="s">
        <v>1025</v>
      </c>
      <c r="B212" s="4" t="s">
        <v>1026</v>
      </c>
      <c r="C212" s="4" t="s">
        <v>987</v>
      </c>
      <c r="D212" s="4" t="s">
        <v>31</v>
      </c>
      <c r="E212" s="4" t="s">
        <v>1027</v>
      </c>
      <c r="F212" s="4" t="s">
        <v>362</v>
      </c>
      <c r="G212" s="4" t="s">
        <v>138</v>
      </c>
      <c r="H212" s="5">
        <v>9.4</v>
      </c>
      <c r="I212" s="3" t="s">
        <v>1028</v>
      </c>
      <c r="J212" s="3" t="s">
        <v>36</v>
      </c>
      <c r="K212" s="3" t="s">
        <v>37</v>
      </c>
      <c r="L212" s="3"/>
      <c r="M212" s="3"/>
      <c r="N212" s="3"/>
      <c r="O212" s="6">
        <v>2</v>
      </c>
      <c r="P212" s="6">
        <v>0</v>
      </c>
      <c r="Q212" s="6">
        <v>1</v>
      </c>
      <c r="R212" s="6">
        <v>1</v>
      </c>
      <c r="S212" s="6">
        <v>0</v>
      </c>
      <c r="T212" s="6">
        <v>0</v>
      </c>
      <c r="U212" s="6">
        <v>0</v>
      </c>
      <c r="V212" s="3"/>
      <c r="W212" s="4" t="s">
        <v>1029</v>
      </c>
      <c r="X212" s="7">
        <f>설정!$B$4*H212+설정!$B$5*O212*(1+설정!$B$9*(O212-1))+설정!$B$6*P212*(1+설정!$B$9*(P212-1))+설정!$B$7*Q212*(1+설정!$B$9*(Q212-1))+설정!$B$8*R212*(1+설정!$B$9*(R212-1))</f>
        <v>2242</v>
      </c>
      <c r="Y212" s="7">
        <f>설정!$B$10*(O212*(1+설정!$B$9*(O212-1))+P212*(1+설정!$B$9*(P212-1)))</f>
        <v>36</v>
      </c>
      <c r="Z212" s="7">
        <f t="shared" si="3"/>
        <v>26.6</v>
      </c>
      <c r="AA212" s="7">
        <f>X212*설정!$B$11</f>
        <v>224.20000000000002</v>
      </c>
      <c r="AB212" s="3"/>
    </row>
    <row r="213" spans="1:28">
      <c r="A213" s="3" t="s">
        <v>1030</v>
      </c>
      <c r="B213" s="4" t="s">
        <v>1031</v>
      </c>
      <c r="C213" s="4" t="s">
        <v>987</v>
      </c>
      <c r="D213" s="4" t="s">
        <v>31</v>
      </c>
      <c r="E213" s="4" t="s">
        <v>1032</v>
      </c>
      <c r="F213" s="4" t="s">
        <v>362</v>
      </c>
      <c r="G213" s="4" t="s">
        <v>138</v>
      </c>
      <c r="H213" s="5">
        <v>8.9</v>
      </c>
      <c r="I213" s="3" t="s">
        <v>1033</v>
      </c>
      <c r="J213" s="3" t="s">
        <v>36</v>
      </c>
      <c r="K213" s="3" t="s">
        <v>37</v>
      </c>
      <c r="L213" s="3"/>
      <c r="M213" s="3"/>
      <c r="N213" s="3"/>
      <c r="O213" s="6">
        <v>2</v>
      </c>
      <c r="P213" s="6">
        <v>0</v>
      </c>
      <c r="Q213" s="6">
        <v>0</v>
      </c>
      <c r="R213" s="6">
        <v>1</v>
      </c>
      <c r="S213" s="6">
        <v>0</v>
      </c>
      <c r="T213" s="6">
        <v>0</v>
      </c>
      <c r="U213" s="6">
        <v>0</v>
      </c>
      <c r="V213" s="3"/>
      <c r="W213" s="4" t="s">
        <v>1034</v>
      </c>
      <c r="X213" s="7">
        <f>설정!$B$4*H213+설정!$B$5*O213*(1+설정!$B$9*(O213-1))+설정!$B$6*P213*(1+설정!$B$9*(P213-1))+설정!$B$7*Q213*(1+설정!$B$9*(Q213-1))+설정!$B$8*R213*(1+설정!$B$9*(R213-1))</f>
        <v>1227</v>
      </c>
      <c r="Y213" s="7">
        <f>설정!$B$10*(O213*(1+설정!$B$9*(O213-1))+P213*(1+설정!$B$9*(P213-1)))</f>
        <v>36</v>
      </c>
      <c r="Z213" s="7">
        <f t="shared" si="3"/>
        <v>27.1</v>
      </c>
      <c r="AA213" s="7">
        <f>X213*설정!$B$11</f>
        <v>122.7</v>
      </c>
      <c r="AB213" s="3"/>
    </row>
    <row r="214" spans="1:28">
      <c r="A214" s="3" t="s">
        <v>1035</v>
      </c>
      <c r="B214" s="4" t="s">
        <v>1036</v>
      </c>
      <c r="C214" s="4" t="s">
        <v>987</v>
      </c>
      <c r="D214" s="4" t="s">
        <v>31</v>
      </c>
      <c r="E214" s="4" t="s">
        <v>1037</v>
      </c>
      <c r="F214" s="4" t="s">
        <v>362</v>
      </c>
      <c r="G214" s="4" t="s">
        <v>138</v>
      </c>
      <c r="H214" s="5">
        <v>6.5</v>
      </c>
      <c r="I214" s="3" t="s">
        <v>1038</v>
      </c>
      <c r="J214" s="3" t="s">
        <v>36</v>
      </c>
      <c r="K214" s="3" t="s">
        <v>37</v>
      </c>
      <c r="L214" s="3"/>
      <c r="M214" s="3"/>
      <c r="N214" s="3"/>
      <c r="O214" s="6">
        <v>1</v>
      </c>
      <c r="P214" s="6">
        <v>0</v>
      </c>
      <c r="Q214" s="6">
        <v>0</v>
      </c>
      <c r="R214" s="6">
        <v>1</v>
      </c>
      <c r="S214" s="6">
        <v>0</v>
      </c>
      <c r="T214" s="6">
        <v>1</v>
      </c>
      <c r="U214" s="6">
        <v>0</v>
      </c>
      <c r="V214" s="3"/>
      <c r="W214" s="4" t="s">
        <v>1039</v>
      </c>
      <c r="X214" s="7">
        <f>설정!$B$4*H214+설정!$B$5*O214*(1+설정!$B$9*(O214-1))+설정!$B$6*P214*(1+설정!$B$9*(P214-1))+설정!$B$7*Q214*(1+설정!$B$9*(Q214-1))+설정!$B$8*R214*(1+설정!$B$9*(R214-1))</f>
        <v>945</v>
      </c>
      <c r="Y214" s="7">
        <f>설정!$B$10*(O214*(1+설정!$B$9*(O214-1))+P214*(1+설정!$B$9*(P214-1)))</f>
        <v>15</v>
      </c>
      <c r="Z214" s="7">
        <f t="shared" si="3"/>
        <v>8.5</v>
      </c>
      <c r="AA214" s="7">
        <f>X214*설정!$B$11</f>
        <v>94.5</v>
      </c>
      <c r="AB214" s="3"/>
    </row>
    <row r="215" spans="1:28">
      <c r="A215" s="3" t="s">
        <v>1040</v>
      </c>
      <c r="B215" s="4" t="s">
        <v>1041</v>
      </c>
      <c r="C215" s="4" t="s">
        <v>987</v>
      </c>
      <c r="D215" s="4" t="s">
        <v>31</v>
      </c>
      <c r="E215" s="4" t="s">
        <v>1042</v>
      </c>
      <c r="F215" s="4" t="s">
        <v>177</v>
      </c>
      <c r="G215" s="4" t="s">
        <v>138</v>
      </c>
      <c r="H215" s="5">
        <v>5.3</v>
      </c>
      <c r="I215" s="3" t="s">
        <v>1043</v>
      </c>
      <c r="J215" s="3" t="s">
        <v>36</v>
      </c>
      <c r="K215" s="3" t="s">
        <v>37</v>
      </c>
      <c r="L215" s="3"/>
      <c r="M215" s="3"/>
      <c r="N215" s="3"/>
      <c r="O215" s="6">
        <v>2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3"/>
      <c r="W215" s="3"/>
      <c r="X215" s="7">
        <f>설정!$B$4*H215+설정!$B$5*O215*(1+설정!$B$9*(O215-1))+설정!$B$6*P215*(1+설정!$B$9*(P215-1))+설정!$B$7*Q215*(1+설정!$B$9*(Q215-1))+설정!$B$8*R215*(1+설정!$B$9*(R215-1))</f>
        <v>519</v>
      </c>
      <c r="Y215" s="7">
        <f>설정!$B$10*(O215*(1+설정!$B$9*(O215-1))+P215*(1+설정!$B$9*(P215-1)))</f>
        <v>36</v>
      </c>
      <c r="Z215" s="7">
        <f t="shared" si="3"/>
        <v>30.7</v>
      </c>
      <c r="AA215" s="7">
        <f>X215*설정!$B$11</f>
        <v>51.900000000000006</v>
      </c>
      <c r="AB215" s="3"/>
    </row>
    <row r="216" spans="1:28">
      <c r="A216" s="3" t="s">
        <v>1044</v>
      </c>
      <c r="B216" s="4" t="s">
        <v>1045</v>
      </c>
      <c r="C216" s="4" t="s">
        <v>987</v>
      </c>
      <c r="D216" s="4" t="s">
        <v>31</v>
      </c>
      <c r="E216" s="4" t="s">
        <v>1046</v>
      </c>
      <c r="F216" s="4" t="s">
        <v>177</v>
      </c>
      <c r="G216" s="4" t="s">
        <v>138</v>
      </c>
      <c r="H216" s="5">
        <v>4.8</v>
      </c>
      <c r="I216" s="3" t="s">
        <v>1047</v>
      </c>
      <c r="J216" s="3" t="s">
        <v>36</v>
      </c>
      <c r="K216" s="3" t="s">
        <v>37</v>
      </c>
      <c r="L216" s="3"/>
      <c r="M216" s="3"/>
      <c r="N216" s="3"/>
      <c r="O216" s="6">
        <v>2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3"/>
      <c r="W216" s="4" t="s">
        <v>1048</v>
      </c>
      <c r="X216" s="7">
        <f>설정!$B$4*H216+설정!$B$5*O216*(1+설정!$B$9*(O216-1))+설정!$B$6*P216*(1+설정!$B$9*(P216-1))+설정!$B$7*Q216*(1+설정!$B$9*(Q216-1))+설정!$B$8*R216*(1+설정!$B$9*(R216-1))</f>
        <v>504</v>
      </c>
      <c r="Y216" s="7">
        <f>설정!$B$10*(O216*(1+설정!$B$9*(O216-1))+P216*(1+설정!$B$9*(P216-1)))</f>
        <v>36</v>
      </c>
      <c r="Z216" s="7">
        <f t="shared" si="3"/>
        <v>31.2</v>
      </c>
      <c r="AA216" s="7">
        <f>X216*설정!$B$11</f>
        <v>50.400000000000006</v>
      </c>
      <c r="AB216" s="3"/>
    </row>
    <row r="217" spans="1:28">
      <c r="A217" s="3" t="s">
        <v>1049</v>
      </c>
      <c r="B217" s="4" t="s">
        <v>1050</v>
      </c>
      <c r="C217" s="4" t="s">
        <v>987</v>
      </c>
      <c r="D217" s="4" t="s">
        <v>31</v>
      </c>
      <c r="E217" s="4" t="s">
        <v>1051</v>
      </c>
      <c r="F217" s="4" t="s">
        <v>177</v>
      </c>
      <c r="G217" s="4" t="s">
        <v>138</v>
      </c>
      <c r="H217" s="5">
        <v>4.5999999999999996</v>
      </c>
      <c r="I217" s="3" t="s">
        <v>1052</v>
      </c>
      <c r="J217" s="3" t="s">
        <v>36</v>
      </c>
      <c r="K217" s="3" t="s">
        <v>140</v>
      </c>
      <c r="L217" s="4" t="s">
        <v>338</v>
      </c>
      <c r="M217" s="3"/>
      <c r="N217" s="3"/>
      <c r="O217" s="6">
        <v>1</v>
      </c>
      <c r="P217" s="6">
        <v>2</v>
      </c>
      <c r="Q217" s="6">
        <v>0</v>
      </c>
      <c r="R217" s="6">
        <v>0</v>
      </c>
      <c r="S217" s="6">
        <v>0</v>
      </c>
      <c r="T217" s="6">
        <v>0</v>
      </c>
      <c r="U217" s="6">
        <v>3</v>
      </c>
      <c r="V217" s="4" t="s">
        <v>1053</v>
      </c>
      <c r="W217" s="4" t="s">
        <v>1054</v>
      </c>
      <c r="X217" s="7">
        <f>설정!$B$4*H217+설정!$B$5*O217*(1+설정!$B$9*(O217-1))+설정!$B$6*P217*(1+설정!$B$9*(P217-1))+설정!$B$7*Q217*(1+설정!$B$9*(Q217-1))+설정!$B$8*R217*(1+설정!$B$9*(R217-1))</f>
        <v>648</v>
      </c>
      <c r="Y217" s="7">
        <f>설정!$B$10*(O217*(1+설정!$B$9*(O217-1))+P217*(1+설정!$B$9*(P217-1)))</f>
        <v>51</v>
      </c>
      <c r="Z217" s="7">
        <f t="shared" si="3"/>
        <v>46.4</v>
      </c>
      <c r="AA217" s="7">
        <f>X217*설정!$B$11</f>
        <v>64.8</v>
      </c>
      <c r="AB217" s="3"/>
    </row>
    <row r="218" spans="1:28">
      <c r="A218" s="3" t="s">
        <v>1055</v>
      </c>
      <c r="B218" s="4" t="s">
        <v>1056</v>
      </c>
      <c r="C218" s="4" t="s">
        <v>987</v>
      </c>
      <c r="D218" s="4" t="s">
        <v>31</v>
      </c>
      <c r="E218" s="4" t="s">
        <v>1057</v>
      </c>
      <c r="F218" s="4" t="s">
        <v>177</v>
      </c>
      <c r="G218" s="4" t="s">
        <v>138</v>
      </c>
      <c r="H218" s="5">
        <v>4</v>
      </c>
      <c r="I218" s="3" t="s">
        <v>1058</v>
      </c>
      <c r="J218" s="3" t="s">
        <v>36</v>
      </c>
      <c r="K218" s="3" t="s">
        <v>37</v>
      </c>
      <c r="L218" s="3"/>
      <c r="M218" s="3"/>
      <c r="N218" s="3"/>
      <c r="O218" s="6">
        <v>2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3"/>
      <c r="W218" s="4" t="s">
        <v>1059</v>
      </c>
      <c r="X218" s="7">
        <f>설정!$B$4*H218+설정!$B$5*O218*(1+설정!$B$9*(O218-1))+설정!$B$6*P218*(1+설정!$B$9*(P218-1))+설정!$B$7*Q218*(1+설정!$B$9*(Q218-1))+설정!$B$8*R218*(1+설정!$B$9*(R218-1))</f>
        <v>480</v>
      </c>
      <c r="Y218" s="7">
        <f>설정!$B$10*(O218*(1+설정!$B$9*(O218-1))+P218*(1+설정!$B$9*(P218-1)))</f>
        <v>36</v>
      </c>
      <c r="Z218" s="7">
        <f t="shared" si="3"/>
        <v>32</v>
      </c>
      <c r="AA218" s="7">
        <f>X218*설정!$B$11</f>
        <v>48</v>
      </c>
      <c r="AB218" s="3"/>
    </row>
    <row r="219" spans="1:28">
      <c r="A219" s="3" t="s">
        <v>1060</v>
      </c>
      <c r="B219" s="4" t="s">
        <v>1061</v>
      </c>
      <c r="C219" s="4" t="s">
        <v>987</v>
      </c>
      <c r="D219" s="4" t="s">
        <v>31</v>
      </c>
      <c r="E219" s="4" t="s">
        <v>1062</v>
      </c>
      <c r="F219" s="4" t="s">
        <v>177</v>
      </c>
      <c r="G219" s="4" t="s">
        <v>138</v>
      </c>
      <c r="H219" s="5">
        <v>4</v>
      </c>
      <c r="I219" s="3" t="s">
        <v>1063</v>
      </c>
      <c r="J219" s="3" t="s">
        <v>36</v>
      </c>
      <c r="K219" s="3" t="s">
        <v>37</v>
      </c>
      <c r="L219" s="3"/>
      <c r="M219" s="3"/>
      <c r="N219" s="3"/>
      <c r="O219" s="6">
        <v>1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3"/>
      <c r="W219" s="4" t="s">
        <v>1064</v>
      </c>
      <c r="X219" s="7">
        <f>설정!$B$4*H219+설정!$B$5*O219*(1+설정!$B$9*(O219-1))+설정!$B$6*P219*(1+설정!$B$9*(P219-1))+설정!$B$7*Q219*(1+설정!$B$9*(Q219-1))+설정!$B$8*R219*(1+설정!$B$9*(R219-1))</f>
        <v>270</v>
      </c>
      <c r="Y219" s="7">
        <f>설정!$B$10*(O219*(1+설정!$B$9*(O219-1))+P219*(1+설정!$B$9*(P219-1)))</f>
        <v>15</v>
      </c>
      <c r="Z219" s="7">
        <f t="shared" si="3"/>
        <v>11</v>
      </c>
      <c r="AA219" s="7">
        <f>X219*설정!$B$11</f>
        <v>27</v>
      </c>
      <c r="AB219" s="3"/>
    </row>
    <row r="220" spans="1:28">
      <c r="A220" s="3" t="s">
        <v>1065</v>
      </c>
      <c r="B220" s="4" t="s">
        <v>1066</v>
      </c>
      <c r="C220" s="4" t="s">
        <v>987</v>
      </c>
      <c r="D220" s="4" t="s">
        <v>31</v>
      </c>
      <c r="E220" s="4" t="s">
        <v>1067</v>
      </c>
      <c r="F220" s="4" t="s">
        <v>177</v>
      </c>
      <c r="G220" s="4" t="s">
        <v>138</v>
      </c>
      <c r="H220" s="5">
        <v>3.3</v>
      </c>
      <c r="I220" s="3" t="s">
        <v>1068</v>
      </c>
      <c r="J220" s="3" t="s">
        <v>36</v>
      </c>
      <c r="K220" s="3" t="s">
        <v>140</v>
      </c>
      <c r="L220" s="4" t="s">
        <v>338</v>
      </c>
      <c r="M220" s="3"/>
      <c r="N220" s="3"/>
      <c r="O220" s="6">
        <v>1</v>
      </c>
      <c r="P220" s="6">
        <v>2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3"/>
      <c r="W220" s="4" t="s">
        <v>1069</v>
      </c>
      <c r="X220" s="7">
        <f>설정!$B$4*H220+설정!$B$5*O220*(1+설정!$B$9*(O220-1))+설정!$B$6*P220*(1+설정!$B$9*(P220-1))+설정!$B$7*Q220*(1+설정!$B$9*(Q220-1))+설정!$B$8*R220*(1+설정!$B$9*(R220-1))</f>
        <v>609</v>
      </c>
      <c r="Y220" s="7">
        <f>설정!$B$10*(O220*(1+설정!$B$9*(O220-1))+P220*(1+설정!$B$9*(P220-1)))</f>
        <v>51</v>
      </c>
      <c r="Z220" s="7">
        <f t="shared" si="3"/>
        <v>47.7</v>
      </c>
      <c r="AA220" s="7">
        <f>X220*설정!$B$11</f>
        <v>60.900000000000006</v>
      </c>
      <c r="AB220" s="3"/>
    </row>
    <row r="221" spans="1:28">
      <c r="A221" s="3" t="s">
        <v>1070</v>
      </c>
      <c r="B221" s="4" t="s">
        <v>1071</v>
      </c>
      <c r="C221" s="4" t="s">
        <v>987</v>
      </c>
      <c r="D221" s="4" t="s">
        <v>31</v>
      </c>
      <c r="E221" s="4" t="s">
        <v>1072</v>
      </c>
      <c r="F221" s="4" t="s">
        <v>177</v>
      </c>
      <c r="G221" s="4" t="s">
        <v>138</v>
      </c>
      <c r="H221" s="5">
        <v>2.9</v>
      </c>
      <c r="I221" s="3" t="s">
        <v>1073</v>
      </c>
      <c r="J221" s="3" t="s">
        <v>36</v>
      </c>
      <c r="K221" s="3" t="s">
        <v>37</v>
      </c>
      <c r="L221" s="3"/>
      <c r="M221" s="3"/>
      <c r="N221" s="3"/>
      <c r="O221" s="6">
        <v>1</v>
      </c>
      <c r="P221" s="6">
        <v>0</v>
      </c>
      <c r="Q221" s="6">
        <v>1</v>
      </c>
      <c r="R221" s="6">
        <v>0</v>
      </c>
      <c r="S221" s="6">
        <v>0</v>
      </c>
      <c r="T221" s="6">
        <v>0</v>
      </c>
      <c r="U221" s="6">
        <v>0</v>
      </c>
      <c r="V221" s="3"/>
      <c r="W221" s="4" t="s">
        <v>1074</v>
      </c>
      <c r="X221" s="7">
        <f>설정!$B$4*H221+설정!$B$5*O221*(1+설정!$B$9*(O221-1))+설정!$B$6*P221*(1+설정!$B$9*(P221-1))+설정!$B$7*Q221*(1+설정!$B$9*(Q221-1))+설정!$B$8*R221*(1+설정!$B$9*(R221-1))</f>
        <v>1237</v>
      </c>
      <c r="Y221" s="7">
        <f>설정!$B$10*(O221*(1+설정!$B$9*(O221-1))+P221*(1+설정!$B$9*(P221-1)))</f>
        <v>15</v>
      </c>
      <c r="Z221" s="7">
        <f t="shared" si="3"/>
        <v>12.1</v>
      </c>
      <c r="AA221" s="7">
        <f>X221*설정!$B$11</f>
        <v>123.7</v>
      </c>
      <c r="AB221" s="3"/>
    </row>
    <row r="222" spans="1:28">
      <c r="A222" s="3" t="s">
        <v>1075</v>
      </c>
      <c r="B222" s="4" t="s">
        <v>1076</v>
      </c>
      <c r="C222" s="4" t="s">
        <v>987</v>
      </c>
      <c r="D222" s="4" t="s">
        <v>31</v>
      </c>
      <c r="E222" s="4" t="s">
        <v>1077</v>
      </c>
      <c r="F222" s="4" t="s">
        <v>177</v>
      </c>
      <c r="G222" s="4" t="s">
        <v>138</v>
      </c>
      <c r="H222" s="5">
        <v>2.8</v>
      </c>
      <c r="I222" s="3" t="s">
        <v>1078</v>
      </c>
      <c r="J222" s="3" t="s">
        <v>36</v>
      </c>
      <c r="K222" s="3" t="s">
        <v>37</v>
      </c>
      <c r="L222" s="3"/>
      <c r="M222" s="3"/>
      <c r="N222" s="3"/>
      <c r="O222" s="6">
        <v>1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3"/>
      <c r="W222" s="4" t="s">
        <v>1079</v>
      </c>
      <c r="X222" s="7">
        <f>설정!$B$4*H222+설정!$B$5*O222*(1+설정!$B$9*(O222-1))+설정!$B$6*P222*(1+설정!$B$9*(P222-1))+설정!$B$7*Q222*(1+설정!$B$9*(Q222-1))+설정!$B$8*R222*(1+설정!$B$9*(R222-1))</f>
        <v>234</v>
      </c>
      <c r="Y222" s="7">
        <f>설정!$B$10*(O222*(1+설정!$B$9*(O222-1))+P222*(1+설정!$B$9*(P222-1)))</f>
        <v>15</v>
      </c>
      <c r="Z222" s="7">
        <f t="shared" si="3"/>
        <v>12.2</v>
      </c>
      <c r="AA222" s="7">
        <f>X222*설정!$B$11</f>
        <v>23.400000000000002</v>
      </c>
      <c r="AB222" s="3"/>
    </row>
    <row r="223" spans="1:28">
      <c r="A223" s="3" t="s">
        <v>1080</v>
      </c>
      <c r="B223" s="4" t="s">
        <v>1081</v>
      </c>
      <c r="C223" s="4" t="s">
        <v>987</v>
      </c>
      <c r="D223" s="4" t="s">
        <v>31</v>
      </c>
      <c r="E223" s="4" t="s">
        <v>1082</v>
      </c>
      <c r="F223" s="4" t="s">
        <v>177</v>
      </c>
      <c r="G223" s="4" t="s">
        <v>138</v>
      </c>
      <c r="H223" s="5">
        <v>2.5</v>
      </c>
      <c r="I223" s="3" t="s">
        <v>1083</v>
      </c>
      <c r="J223" s="3" t="s">
        <v>36</v>
      </c>
      <c r="K223" s="3" t="s">
        <v>37</v>
      </c>
      <c r="L223" s="3"/>
      <c r="M223" s="3"/>
      <c r="N223" s="3"/>
      <c r="O223" s="6">
        <v>1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3"/>
      <c r="W223" s="4" t="s">
        <v>1084</v>
      </c>
      <c r="X223" s="7">
        <f>설정!$B$4*H223+설정!$B$5*O223*(1+설정!$B$9*(O223-1))+설정!$B$6*P223*(1+설정!$B$9*(P223-1))+설정!$B$7*Q223*(1+설정!$B$9*(Q223-1))+설정!$B$8*R223*(1+설정!$B$9*(R223-1))</f>
        <v>225</v>
      </c>
      <c r="Y223" s="7">
        <f>설정!$B$10*(O223*(1+설정!$B$9*(O223-1))+P223*(1+설정!$B$9*(P223-1)))</f>
        <v>15</v>
      </c>
      <c r="Z223" s="7">
        <f t="shared" si="3"/>
        <v>12.5</v>
      </c>
      <c r="AA223" s="7">
        <f>X223*설정!$B$11</f>
        <v>22.5</v>
      </c>
      <c r="AB223" s="3"/>
    </row>
    <row r="224" spans="1:28">
      <c r="A224" s="3" t="s">
        <v>1085</v>
      </c>
      <c r="B224" s="4" t="s">
        <v>1086</v>
      </c>
      <c r="C224" s="4" t="s">
        <v>987</v>
      </c>
      <c r="D224" s="4" t="s">
        <v>31</v>
      </c>
      <c r="E224" s="4" t="s">
        <v>1087</v>
      </c>
      <c r="F224" s="4" t="s">
        <v>177</v>
      </c>
      <c r="G224" s="4" t="s">
        <v>138</v>
      </c>
      <c r="H224" s="5">
        <v>1.6</v>
      </c>
      <c r="I224" s="3" t="s">
        <v>1088</v>
      </c>
      <c r="J224" s="3" t="s">
        <v>36</v>
      </c>
      <c r="K224" s="3" t="s">
        <v>37</v>
      </c>
      <c r="L224" s="3"/>
      <c r="M224" s="3"/>
      <c r="N224" s="3"/>
      <c r="O224" s="6">
        <v>1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3"/>
      <c r="W224" s="4" t="s">
        <v>1089</v>
      </c>
      <c r="X224" s="7">
        <f>설정!$B$4*H224+설정!$B$5*O224*(1+설정!$B$9*(O224-1))+설정!$B$6*P224*(1+설정!$B$9*(P224-1))+설정!$B$7*Q224*(1+설정!$B$9*(Q224-1))+설정!$B$8*R224*(1+설정!$B$9*(R224-1))</f>
        <v>198</v>
      </c>
      <c r="Y224" s="7">
        <f>설정!$B$10*(O224*(1+설정!$B$9*(O224-1))+P224*(1+설정!$B$9*(P224-1)))</f>
        <v>15</v>
      </c>
      <c r="Z224" s="7">
        <f t="shared" si="3"/>
        <v>13.4</v>
      </c>
      <c r="AA224" s="7">
        <f>X224*설정!$B$11</f>
        <v>19.8</v>
      </c>
      <c r="AB224" s="3"/>
    </row>
    <row r="225" spans="1:28">
      <c r="A225" s="3" t="s">
        <v>1090</v>
      </c>
      <c r="B225" s="4" t="s">
        <v>1091</v>
      </c>
      <c r="C225" s="4" t="s">
        <v>987</v>
      </c>
      <c r="D225" s="4" t="s">
        <v>31</v>
      </c>
      <c r="E225" s="4" t="s">
        <v>1092</v>
      </c>
      <c r="F225" s="4" t="s">
        <v>177</v>
      </c>
      <c r="G225" s="4" t="s">
        <v>138</v>
      </c>
      <c r="H225" s="5">
        <v>0.9</v>
      </c>
      <c r="I225" s="3" t="s">
        <v>1093</v>
      </c>
      <c r="J225" s="3" t="s">
        <v>36</v>
      </c>
      <c r="K225" s="3" t="s">
        <v>140</v>
      </c>
      <c r="L225" s="4" t="s">
        <v>526</v>
      </c>
      <c r="M225" s="4" t="s">
        <v>1094</v>
      </c>
      <c r="N225" s="3" t="s">
        <v>140</v>
      </c>
      <c r="O225" s="6">
        <v>1</v>
      </c>
      <c r="P225" s="6">
        <v>2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3"/>
      <c r="W225" s="4" t="s">
        <v>1095</v>
      </c>
      <c r="X225" s="7">
        <f>설정!$B$4*H225+설정!$B$5*O225*(1+설정!$B$9*(O225-1))+설정!$B$6*P225*(1+설정!$B$9*(P225-1))+설정!$B$7*Q225*(1+설정!$B$9*(Q225-1))+설정!$B$8*R225*(1+설정!$B$9*(R225-1))</f>
        <v>537</v>
      </c>
      <c r="Y225" s="7">
        <f>설정!$B$10*(O225*(1+설정!$B$9*(O225-1))+P225*(1+설정!$B$9*(P225-1)))</f>
        <v>51</v>
      </c>
      <c r="Z225" s="7">
        <f t="shared" si="3"/>
        <v>50.1</v>
      </c>
      <c r="AA225" s="7">
        <f>X225*설정!$B$11</f>
        <v>53.7</v>
      </c>
      <c r="AB225" s="3"/>
    </row>
    <row r="226" spans="1:28">
      <c r="A226" s="3" t="s">
        <v>1096</v>
      </c>
      <c r="B226" s="4" t="s">
        <v>1097</v>
      </c>
      <c r="C226" s="4" t="s">
        <v>1098</v>
      </c>
      <c r="D226" s="4" t="s">
        <v>31</v>
      </c>
      <c r="E226" s="4" t="s">
        <v>1099</v>
      </c>
      <c r="F226" s="4" t="s">
        <v>362</v>
      </c>
      <c r="G226" s="4" t="s">
        <v>138</v>
      </c>
      <c r="H226" s="5">
        <v>98.5</v>
      </c>
      <c r="I226" s="3" t="s">
        <v>1100</v>
      </c>
      <c r="J226" s="3" t="s">
        <v>36</v>
      </c>
      <c r="K226" s="3" t="s">
        <v>140</v>
      </c>
      <c r="L226" s="4" t="s">
        <v>141</v>
      </c>
      <c r="M226" s="3"/>
      <c r="N226" s="3"/>
      <c r="O226" s="6">
        <v>1</v>
      </c>
      <c r="P226" s="6">
        <v>1</v>
      </c>
      <c r="Q226" s="6">
        <v>2</v>
      </c>
      <c r="R226" s="6">
        <v>2</v>
      </c>
      <c r="S226" s="6">
        <v>0</v>
      </c>
      <c r="T226" s="6">
        <v>0</v>
      </c>
      <c r="U226" s="6">
        <v>0</v>
      </c>
      <c r="V226" s="3"/>
      <c r="W226" s="4" t="s">
        <v>1101</v>
      </c>
      <c r="X226" s="7">
        <f>설정!$B$4*H226+설정!$B$5*O226*(1+설정!$B$9*(O226-1))+설정!$B$6*P226*(1+설정!$B$9*(P226-1))+설정!$B$7*Q226*(1+설정!$B$9*(Q226-1))+설정!$B$8*R226*(1+설정!$B$9*(R226-1))</f>
        <v>7095</v>
      </c>
      <c r="Y226" s="7">
        <f>설정!$B$10*(O226*(1+설정!$B$9*(O226-1))+P226*(1+설정!$B$9*(P226-1)))</f>
        <v>30</v>
      </c>
      <c r="Z226" s="7">
        <f t="shared" si="3"/>
        <v>-68.5</v>
      </c>
      <c r="AA226" s="7">
        <f>X226*설정!$B$11</f>
        <v>709.5</v>
      </c>
      <c r="AB226" s="3"/>
    </row>
    <row r="227" spans="1:28">
      <c r="A227" s="3" t="s">
        <v>1102</v>
      </c>
      <c r="B227" s="4" t="s">
        <v>1103</v>
      </c>
      <c r="C227" s="4" t="s">
        <v>1098</v>
      </c>
      <c r="D227" s="4" t="s">
        <v>31</v>
      </c>
      <c r="E227" s="4" t="s">
        <v>1104</v>
      </c>
      <c r="F227" s="4" t="s">
        <v>362</v>
      </c>
      <c r="G227" s="4" t="s">
        <v>138</v>
      </c>
      <c r="H227" s="5">
        <v>53.3</v>
      </c>
      <c r="I227" s="3" t="s">
        <v>1105</v>
      </c>
      <c r="J227" s="3" t="s">
        <v>36</v>
      </c>
      <c r="K227" s="3" t="s">
        <v>37</v>
      </c>
      <c r="L227" s="3"/>
      <c r="M227" s="3"/>
      <c r="N227" s="3"/>
      <c r="O227" s="6">
        <v>1</v>
      </c>
      <c r="P227" s="6">
        <v>0</v>
      </c>
      <c r="Q227" s="6">
        <v>2</v>
      </c>
      <c r="R227" s="6">
        <v>1</v>
      </c>
      <c r="S227" s="6">
        <v>0</v>
      </c>
      <c r="T227" s="6">
        <v>0</v>
      </c>
      <c r="U227" s="6">
        <v>0</v>
      </c>
      <c r="V227" s="3"/>
      <c r="W227" s="3"/>
      <c r="X227" s="7">
        <f>설정!$B$4*H227+설정!$B$5*O227*(1+설정!$B$9*(O227-1))+설정!$B$6*P227*(1+설정!$B$9*(P227-1))+설정!$B$7*Q227*(1+설정!$B$9*(Q227-1))+설정!$B$8*R227*(1+설정!$B$9*(R227-1))</f>
        <v>4749</v>
      </c>
      <c r="Y227" s="7">
        <f>설정!$B$10*(O227*(1+설정!$B$9*(O227-1))+P227*(1+설정!$B$9*(P227-1)))</f>
        <v>15</v>
      </c>
      <c r="Z227" s="7">
        <f t="shared" si="3"/>
        <v>-38.299999999999997</v>
      </c>
      <c r="AA227" s="7">
        <f>X227*설정!$B$11</f>
        <v>474.90000000000003</v>
      </c>
      <c r="AB227" s="3"/>
    </row>
    <row r="228" spans="1:28">
      <c r="A228" s="3" t="s">
        <v>1106</v>
      </c>
      <c r="B228" s="4" t="s">
        <v>1107</v>
      </c>
      <c r="C228" s="4" t="s">
        <v>1098</v>
      </c>
      <c r="D228" s="4" t="s">
        <v>31</v>
      </c>
      <c r="E228" s="4" t="s">
        <v>1108</v>
      </c>
      <c r="F228" s="4" t="s">
        <v>362</v>
      </c>
      <c r="G228" s="4" t="s">
        <v>138</v>
      </c>
      <c r="H228" s="5">
        <v>36.1</v>
      </c>
      <c r="I228" s="3" t="s">
        <v>1109</v>
      </c>
      <c r="J228" s="3" t="s">
        <v>36</v>
      </c>
      <c r="K228" s="3" t="s">
        <v>37</v>
      </c>
      <c r="L228" s="3"/>
      <c r="M228" s="3"/>
      <c r="N228" s="3"/>
      <c r="O228" s="6">
        <v>0</v>
      </c>
      <c r="P228" s="6">
        <v>0</v>
      </c>
      <c r="Q228" s="6">
        <v>1</v>
      </c>
      <c r="R228" s="6">
        <v>1</v>
      </c>
      <c r="S228" s="6">
        <v>0</v>
      </c>
      <c r="T228" s="6">
        <v>0</v>
      </c>
      <c r="U228" s="6">
        <v>0</v>
      </c>
      <c r="V228" s="3"/>
      <c r="W228" s="3"/>
      <c r="X228" s="7">
        <f>설정!$B$4*H228+설정!$B$5*O228*(1+설정!$B$9*(O228-1))+설정!$B$6*P228*(1+설정!$B$9*(P228-1))+설정!$B$7*Q228*(1+설정!$B$9*(Q228-1))+설정!$B$8*R228*(1+설정!$B$9*(R228-1))</f>
        <v>2683</v>
      </c>
      <c r="Y228" s="7">
        <f>설정!$B$10*(O228*(1+설정!$B$9*(O228-1))+P228*(1+설정!$B$9*(P228-1)))</f>
        <v>0</v>
      </c>
      <c r="Z228" s="7">
        <f t="shared" si="3"/>
        <v>-36.1</v>
      </c>
      <c r="AA228" s="7">
        <f>X228*설정!$B$11</f>
        <v>268.3</v>
      </c>
      <c r="AB228" s="3"/>
    </row>
    <row r="229" spans="1:28">
      <c r="A229" s="3" t="s">
        <v>1110</v>
      </c>
      <c r="B229" s="4" t="s">
        <v>1111</v>
      </c>
      <c r="C229" s="4" t="s">
        <v>1098</v>
      </c>
      <c r="D229" s="4" t="s">
        <v>31</v>
      </c>
      <c r="E229" s="4" t="s">
        <v>1112</v>
      </c>
      <c r="F229" s="4" t="s">
        <v>362</v>
      </c>
      <c r="G229" s="4" t="s">
        <v>138</v>
      </c>
      <c r="H229" s="5">
        <v>33.4</v>
      </c>
      <c r="I229" s="3" t="s">
        <v>1113</v>
      </c>
      <c r="J229" s="3" t="s">
        <v>36</v>
      </c>
      <c r="K229" s="3" t="s">
        <v>37</v>
      </c>
      <c r="L229" s="3"/>
      <c r="M229" s="3"/>
      <c r="N229" s="3"/>
      <c r="O229" s="6">
        <v>2</v>
      </c>
      <c r="P229" s="6">
        <v>0</v>
      </c>
      <c r="Q229" s="6">
        <v>1</v>
      </c>
      <c r="R229" s="6">
        <v>1</v>
      </c>
      <c r="S229" s="6">
        <v>0</v>
      </c>
      <c r="T229" s="6">
        <v>0</v>
      </c>
      <c r="U229" s="6">
        <v>0</v>
      </c>
      <c r="V229" s="3"/>
      <c r="W229" s="4" t="s">
        <v>1114</v>
      </c>
      <c r="X229" s="7">
        <f>설정!$B$4*H229+설정!$B$5*O229*(1+설정!$B$9*(O229-1))+설정!$B$6*P229*(1+설정!$B$9*(P229-1))+설정!$B$7*Q229*(1+설정!$B$9*(Q229-1))+설정!$B$8*R229*(1+설정!$B$9*(R229-1))</f>
        <v>2962</v>
      </c>
      <c r="Y229" s="7">
        <f>설정!$B$10*(O229*(1+설정!$B$9*(O229-1))+P229*(1+설정!$B$9*(P229-1)))</f>
        <v>36</v>
      </c>
      <c r="Z229" s="7">
        <f t="shared" si="3"/>
        <v>2.6000000000000014</v>
      </c>
      <c r="AA229" s="7">
        <f>X229*설정!$B$11</f>
        <v>296.2</v>
      </c>
      <c r="AB229" s="3"/>
    </row>
    <row r="230" spans="1:28">
      <c r="A230" s="3" t="s">
        <v>1115</v>
      </c>
      <c r="B230" s="4" t="s">
        <v>1116</v>
      </c>
      <c r="C230" s="4" t="s">
        <v>1098</v>
      </c>
      <c r="D230" s="4" t="s">
        <v>31</v>
      </c>
      <c r="E230" s="4" t="s">
        <v>1117</v>
      </c>
      <c r="F230" s="4" t="s">
        <v>362</v>
      </c>
      <c r="G230" s="4" t="s">
        <v>138</v>
      </c>
      <c r="H230" s="5">
        <v>22.9</v>
      </c>
      <c r="I230" s="3" t="s">
        <v>1118</v>
      </c>
      <c r="J230" s="3" t="s">
        <v>36</v>
      </c>
      <c r="K230" s="3" t="s">
        <v>140</v>
      </c>
      <c r="L230" s="4" t="s">
        <v>141</v>
      </c>
      <c r="M230" s="4" t="s">
        <v>199</v>
      </c>
      <c r="N230" s="3"/>
      <c r="O230" s="6">
        <v>1</v>
      </c>
      <c r="P230" s="6">
        <v>2</v>
      </c>
      <c r="Q230" s="6">
        <v>2</v>
      </c>
      <c r="R230" s="6">
        <v>1</v>
      </c>
      <c r="S230" s="6">
        <v>0</v>
      </c>
      <c r="T230" s="6">
        <v>0</v>
      </c>
      <c r="U230" s="6">
        <v>0</v>
      </c>
      <c r="V230" s="3"/>
      <c r="W230" s="4" t="s">
        <v>1119</v>
      </c>
      <c r="X230" s="7">
        <f>설정!$B$4*H230+설정!$B$5*O230*(1+설정!$B$9*(O230-1))+설정!$B$6*P230*(1+설정!$B$9*(P230-1))+설정!$B$7*Q230*(1+설정!$B$9*(Q230-1))+설정!$B$8*R230*(1+설정!$B$9*(R230-1))</f>
        <v>4197</v>
      </c>
      <c r="Y230" s="7">
        <f>설정!$B$10*(O230*(1+설정!$B$9*(O230-1))+P230*(1+설정!$B$9*(P230-1)))</f>
        <v>51</v>
      </c>
      <c r="Z230" s="7">
        <f t="shared" si="3"/>
        <v>28.1</v>
      </c>
      <c r="AA230" s="7">
        <f>X230*설정!$B$11</f>
        <v>419.70000000000005</v>
      </c>
      <c r="AB230" s="3"/>
    </row>
    <row r="231" spans="1:28">
      <c r="A231" s="3" t="s">
        <v>1120</v>
      </c>
      <c r="B231" s="4" t="s">
        <v>1121</v>
      </c>
      <c r="C231" s="4" t="s">
        <v>1098</v>
      </c>
      <c r="D231" s="4" t="s">
        <v>31</v>
      </c>
      <c r="E231" s="4" t="s">
        <v>1122</v>
      </c>
      <c r="F231" s="4" t="s">
        <v>362</v>
      </c>
      <c r="G231" s="4" t="s">
        <v>138</v>
      </c>
      <c r="H231" s="5">
        <v>11.6</v>
      </c>
      <c r="I231" s="3" t="s">
        <v>1123</v>
      </c>
      <c r="J231" s="3" t="s">
        <v>36</v>
      </c>
      <c r="K231" s="3" t="s">
        <v>140</v>
      </c>
      <c r="L231" s="4" t="s">
        <v>141</v>
      </c>
      <c r="M231" s="3"/>
      <c r="N231" s="3"/>
      <c r="O231" s="6">
        <v>1</v>
      </c>
      <c r="P231" s="6">
        <v>2</v>
      </c>
      <c r="Q231" s="6">
        <v>1</v>
      </c>
      <c r="R231" s="6">
        <v>1</v>
      </c>
      <c r="S231" s="6">
        <v>0</v>
      </c>
      <c r="T231" s="6">
        <v>0</v>
      </c>
      <c r="U231" s="6">
        <v>0</v>
      </c>
      <c r="V231" s="3"/>
      <c r="W231" s="4" t="s">
        <v>1124</v>
      </c>
      <c r="X231" s="7">
        <f>설정!$B$4*H231+설정!$B$5*O231*(1+설정!$B$9*(O231-1))+설정!$B$6*P231*(1+설정!$B$9*(P231-1))+설정!$B$7*Q231*(1+설정!$B$9*(Q231-1))+설정!$B$8*R231*(1+설정!$B$9*(R231-1))</f>
        <v>2458</v>
      </c>
      <c r="Y231" s="7">
        <f>설정!$B$10*(O231*(1+설정!$B$9*(O231-1))+P231*(1+설정!$B$9*(P231-1)))</f>
        <v>51</v>
      </c>
      <c r="Z231" s="7">
        <f t="shared" si="3"/>
        <v>39.4</v>
      </c>
      <c r="AA231" s="7">
        <f>X231*설정!$B$11</f>
        <v>245.8</v>
      </c>
      <c r="AB231" s="3"/>
    </row>
    <row r="232" spans="1:28">
      <c r="A232" s="3" t="s">
        <v>1125</v>
      </c>
      <c r="B232" s="4" t="s">
        <v>1126</v>
      </c>
      <c r="C232" s="4" t="s">
        <v>1098</v>
      </c>
      <c r="D232" s="4" t="s">
        <v>31</v>
      </c>
      <c r="E232" s="4" t="s">
        <v>1127</v>
      </c>
      <c r="F232" s="4" t="s">
        <v>362</v>
      </c>
      <c r="G232" s="4" t="s">
        <v>138</v>
      </c>
      <c r="H232" s="5">
        <v>10.8</v>
      </c>
      <c r="I232" s="3" t="s">
        <v>1128</v>
      </c>
      <c r="J232" s="3" t="s">
        <v>36</v>
      </c>
      <c r="K232" s="3" t="s">
        <v>140</v>
      </c>
      <c r="L232" s="4" t="s">
        <v>141</v>
      </c>
      <c r="M232" s="3"/>
      <c r="N232" s="3"/>
      <c r="O232" s="6">
        <v>1</v>
      </c>
      <c r="P232" s="6">
        <v>2</v>
      </c>
      <c r="Q232" s="6">
        <v>1</v>
      </c>
      <c r="R232" s="6">
        <v>1</v>
      </c>
      <c r="S232" s="6">
        <v>0</v>
      </c>
      <c r="T232" s="6">
        <v>0</v>
      </c>
      <c r="U232" s="6">
        <v>0</v>
      </c>
      <c r="V232" s="3"/>
      <c r="W232" s="4" t="s">
        <v>1129</v>
      </c>
      <c r="X232" s="7">
        <f>설정!$B$4*H232+설정!$B$5*O232*(1+설정!$B$9*(O232-1))+설정!$B$6*P232*(1+설정!$B$9*(P232-1))+설정!$B$7*Q232*(1+설정!$B$9*(Q232-1))+설정!$B$8*R232*(1+설정!$B$9*(R232-1))</f>
        <v>2434</v>
      </c>
      <c r="Y232" s="7">
        <f>설정!$B$10*(O232*(1+설정!$B$9*(O232-1))+P232*(1+설정!$B$9*(P232-1)))</f>
        <v>51</v>
      </c>
      <c r="Z232" s="7">
        <f t="shared" si="3"/>
        <v>40.200000000000003</v>
      </c>
      <c r="AA232" s="7">
        <f>X232*설정!$B$11</f>
        <v>243.4</v>
      </c>
      <c r="AB232" s="3"/>
    </row>
    <row r="233" spans="1:28">
      <c r="A233" s="3" t="s">
        <v>1130</v>
      </c>
      <c r="B233" s="4" t="s">
        <v>1131</v>
      </c>
      <c r="C233" s="4" t="s">
        <v>1098</v>
      </c>
      <c r="D233" s="4" t="s">
        <v>31</v>
      </c>
      <c r="E233" s="4" t="s">
        <v>1132</v>
      </c>
      <c r="F233" s="4" t="s">
        <v>362</v>
      </c>
      <c r="G233" s="4" t="s">
        <v>138</v>
      </c>
      <c r="H233" s="5">
        <v>9.8000000000000007</v>
      </c>
      <c r="I233" s="3" t="s">
        <v>1133</v>
      </c>
      <c r="J233" s="3" t="s">
        <v>36</v>
      </c>
      <c r="K233" s="3" t="s">
        <v>37</v>
      </c>
      <c r="L233" s="3"/>
      <c r="M233" s="3"/>
      <c r="N233" s="3"/>
      <c r="O233" s="6">
        <v>2</v>
      </c>
      <c r="P233" s="6">
        <v>0</v>
      </c>
      <c r="Q233" s="6">
        <v>1</v>
      </c>
      <c r="R233" s="6">
        <v>1</v>
      </c>
      <c r="S233" s="6">
        <v>0</v>
      </c>
      <c r="T233" s="6">
        <v>0</v>
      </c>
      <c r="U233" s="6">
        <v>0</v>
      </c>
      <c r="V233" s="3"/>
      <c r="W233" s="4" t="s">
        <v>1134</v>
      </c>
      <c r="X233" s="7">
        <f>설정!$B$4*H233+설정!$B$5*O233*(1+설정!$B$9*(O233-1))+설정!$B$6*P233*(1+설정!$B$9*(P233-1))+설정!$B$7*Q233*(1+설정!$B$9*(Q233-1))+설정!$B$8*R233*(1+설정!$B$9*(R233-1))</f>
        <v>2254</v>
      </c>
      <c r="Y233" s="7">
        <f>설정!$B$10*(O233*(1+설정!$B$9*(O233-1))+P233*(1+설정!$B$9*(P233-1)))</f>
        <v>36</v>
      </c>
      <c r="Z233" s="7">
        <f t="shared" si="3"/>
        <v>26.2</v>
      </c>
      <c r="AA233" s="7">
        <f>X233*설정!$B$11</f>
        <v>225.4</v>
      </c>
      <c r="AB233" s="3"/>
    </row>
    <row r="234" spans="1:28">
      <c r="A234" s="3" t="s">
        <v>1135</v>
      </c>
      <c r="B234" s="4" t="s">
        <v>1136</v>
      </c>
      <c r="C234" s="4" t="s">
        <v>1098</v>
      </c>
      <c r="D234" s="4" t="s">
        <v>31</v>
      </c>
      <c r="E234" s="4" t="s">
        <v>1137</v>
      </c>
      <c r="F234" s="4" t="s">
        <v>177</v>
      </c>
      <c r="G234" s="4" t="s">
        <v>138</v>
      </c>
      <c r="H234" s="5">
        <v>5.9</v>
      </c>
      <c r="I234" s="3" t="s">
        <v>1138</v>
      </c>
      <c r="J234" s="3" t="s">
        <v>36</v>
      </c>
      <c r="K234" s="3" t="s">
        <v>37</v>
      </c>
      <c r="L234" s="3"/>
      <c r="M234" s="3"/>
      <c r="N234" s="3"/>
      <c r="O234" s="6">
        <v>2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3"/>
      <c r="W234" s="4" t="s">
        <v>1139</v>
      </c>
      <c r="X234" s="7">
        <f>설정!$B$4*H234+설정!$B$5*O234*(1+설정!$B$9*(O234-1))+설정!$B$6*P234*(1+설정!$B$9*(P234-1))+설정!$B$7*Q234*(1+설정!$B$9*(Q234-1))+설정!$B$8*R234*(1+설정!$B$9*(R234-1))</f>
        <v>537</v>
      </c>
      <c r="Y234" s="7">
        <f>설정!$B$10*(O234*(1+설정!$B$9*(O234-1))+P234*(1+설정!$B$9*(P234-1)))</f>
        <v>36</v>
      </c>
      <c r="Z234" s="7">
        <f t="shared" si="3"/>
        <v>30.1</v>
      </c>
      <c r="AA234" s="7">
        <f>X234*설정!$B$11</f>
        <v>53.7</v>
      </c>
      <c r="AB234" s="3"/>
    </row>
    <row r="235" spans="1:28">
      <c r="A235" s="3" t="s">
        <v>1140</v>
      </c>
      <c r="B235" s="4" t="s">
        <v>1141</v>
      </c>
      <c r="C235" s="4" t="s">
        <v>1098</v>
      </c>
      <c r="D235" s="4" t="s">
        <v>31</v>
      </c>
      <c r="E235" s="4" t="s">
        <v>1142</v>
      </c>
      <c r="F235" s="4" t="s">
        <v>177</v>
      </c>
      <c r="G235" s="4" t="s">
        <v>138</v>
      </c>
      <c r="H235" s="5">
        <v>5.7</v>
      </c>
      <c r="I235" s="3" t="s">
        <v>1143</v>
      </c>
      <c r="J235" s="3" t="s">
        <v>36</v>
      </c>
      <c r="K235" s="3" t="s">
        <v>37</v>
      </c>
      <c r="L235" s="3"/>
      <c r="M235" s="3"/>
      <c r="N235" s="3"/>
      <c r="O235" s="6">
        <v>2</v>
      </c>
      <c r="P235" s="6">
        <v>0</v>
      </c>
      <c r="Q235" s="6">
        <v>1</v>
      </c>
      <c r="R235" s="6">
        <v>0</v>
      </c>
      <c r="S235" s="6">
        <v>0</v>
      </c>
      <c r="T235" s="6">
        <v>0</v>
      </c>
      <c r="U235" s="6">
        <v>0</v>
      </c>
      <c r="V235" s="3"/>
      <c r="W235" s="4" t="s">
        <v>1144</v>
      </c>
      <c r="X235" s="7">
        <f>설정!$B$4*H235+설정!$B$5*O235*(1+설정!$B$9*(O235-1))+설정!$B$6*P235*(1+설정!$B$9*(P235-1))+설정!$B$7*Q235*(1+설정!$B$9*(Q235-1))+설정!$B$8*R235*(1+설정!$B$9*(R235-1))</f>
        <v>1531</v>
      </c>
      <c r="Y235" s="7">
        <f>설정!$B$10*(O235*(1+설정!$B$9*(O235-1))+P235*(1+설정!$B$9*(P235-1)))</f>
        <v>36</v>
      </c>
      <c r="Z235" s="7">
        <f t="shared" si="3"/>
        <v>30.3</v>
      </c>
      <c r="AA235" s="7">
        <f>X235*설정!$B$11</f>
        <v>153.1</v>
      </c>
      <c r="AB235" s="3"/>
    </row>
    <row r="236" spans="1:28">
      <c r="A236" s="3" t="s">
        <v>1145</v>
      </c>
      <c r="B236" s="4" t="s">
        <v>1146</v>
      </c>
      <c r="C236" s="4" t="s">
        <v>1098</v>
      </c>
      <c r="D236" s="4" t="s">
        <v>31</v>
      </c>
      <c r="E236" s="4" t="s">
        <v>1147</v>
      </c>
      <c r="F236" s="4" t="s">
        <v>177</v>
      </c>
      <c r="G236" s="4" t="s">
        <v>138</v>
      </c>
      <c r="H236" s="5">
        <v>5.4</v>
      </c>
      <c r="I236" s="3" t="s">
        <v>1148</v>
      </c>
      <c r="J236" s="3" t="s">
        <v>36</v>
      </c>
      <c r="K236" s="3" t="s">
        <v>37</v>
      </c>
      <c r="L236" s="3"/>
      <c r="M236" s="3"/>
      <c r="N236" s="3"/>
      <c r="O236" s="6">
        <v>2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3"/>
      <c r="W236" s="4" t="s">
        <v>1149</v>
      </c>
      <c r="X236" s="7">
        <f>설정!$B$4*H236+설정!$B$5*O236*(1+설정!$B$9*(O236-1))+설정!$B$6*P236*(1+설정!$B$9*(P236-1))+설정!$B$7*Q236*(1+설정!$B$9*(Q236-1))+설정!$B$8*R236*(1+설정!$B$9*(R236-1))</f>
        <v>522</v>
      </c>
      <c r="Y236" s="7">
        <f>설정!$B$10*(O236*(1+설정!$B$9*(O236-1))+P236*(1+설정!$B$9*(P236-1)))</f>
        <v>36</v>
      </c>
      <c r="Z236" s="7">
        <f t="shared" si="3"/>
        <v>30.6</v>
      </c>
      <c r="AA236" s="7">
        <f>X236*설정!$B$11</f>
        <v>52.2</v>
      </c>
      <c r="AB236" s="3"/>
    </row>
    <row r="237" spans="1:28">
      <c r="A237" s="3" t="s">
        <v>1150</v>
      </c>
      <c r="B237" s="4" t="s">
        <v>1151</v>
      </c>
      <c r="C237" s="4" t="s">
        <v>1098</v>
      </c>
      <c r="D237" s="4" t="s">
        <v>31</v>
      </c>
      <c r="E237" s="4" t="s">
        <v>1152</v>
      </c>
      <c r="F237" s="4" t="s">
        <v>177</v>
      </c>
      <c r="G237" s="4" t="s">
        <v>138</v>
      </c>
      <c r="H237" s="5">
        <v>4.7</v>
      </c>
      <c r="I237" s="3" t="s">
        <v>1153</v>
      </c>
      <c r="J237" s="3" t="s">
        <v>36</v>
      </c>
      <c r="K237" s="3" t="s">
        <v>140</v>
      </c>
      <c r="L237" s="4" t="s">
        <v>141</v>
      </c>
      <c r="M237" s="3"/>
      <c r="N237" s="3"/>
      <c r="O237" s="6">
        <v>1</v>
      </c>
      <c r="P237" s="6">
        <v>1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4" t="s">
        <v>1154</v>
      </c>
      <c r="W237" s="3"/>
      <c r="X237" s="7">
        <f>설정!$B$4*H237+설정!$B$5*O237*(1+설정!$B$9*(O237-1))+설정!$B$6*P237*(1+설정!$B$9*(P237-1))+설정!$B$7*Q237*(1+설정!$B$9*(Q237-1))+설정!$B$8*R237*(1+설정!$B$9*(R237-1))</f>
        <v>441</v>
      </c>
      <c r="Y237" s="7">
        <f>설정!$B$10*(O237*(1+설정!$B$9*(O237-1))+P237*(1+설정!$B$9*(P237-1)))</f>
        <v>30</v>
      </c>
      <c r="Z237" s="7">
        <f t="shared" si="3"/>
        <v>25.3</v>
      </c>
      <c r="AA237" s="7">
        <f>X237*설정!$B$11</f>
        <v>44.1</v>
      </c>
      <c r="AB237" s="3"/>
    </row>
    <row r="238" spans="1:28">
      <c r="A238" s="3" t="s">
        <v>1155</v>
      </c>
      <c r="B238" s="4" t="s">
        <v>1156</v>
      </c>
      <c r="C238" s="4" t="s">
        <v>1098</v>
      </c>
      <c r="D238" s="4" t="s">
        <v>31</v>
      </c>
      <c r="E238" s="4" t="s">
        <v>1157</v>
      </c>
      <c r="F238" s="4" t="s">
        <v>177</v>
      </c>
      <c r="G238" s="4" t="s">
        <v>138</v>
      </c>
      <c r="H238" s="5">
        <v>4.0999999999999996</v>
      </c>
      <c r="I238" s="3" t="s">
        <v>1158</v>
      </c>
      <c r="J238" s="3" t="s">
        <v>36</v>
      </c>
      <c r="K238" s="3" t="s">
        <v>140</v>
      </c>
      <c r="L238" s="4" t="s">
        <v>141</v>
      </c>
      <c r="M238" s="4" t="s">
        <v>199</v>
      </c>
      <c r="N238" s="3"/>
      <c r="O238" s="6">
        <v>1</v>
      </c>
      <c r="P238" s="6">
        <v>2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3"/>
      <c r="W238" s="4" t="s">
        <v>1159</v>
      </c>
      <c r="X238" s="7">
        <f>설정!$B$4*H238+설정!$B$5*O238*(1+설정!$B$9*(O238-1))+설정!$B$6*P238*(1+설정!$B$9*(P238-1))+설정!$B$7*Q238*(1+설정!$B$9*(Q238-1))+설정!$B$8*R238*(1+설정!$B$9*(R238-1))</f>
        <v>633</v>
      </c>
      <c r="Y238" s="7">
        <f>설정!$B$10*(O238*(1+설정!$B$9*(O238-1))+P238*(1+설정!$B$9*(P238-1)))</f>
        <v>51</v>
      </c>
      <c r="Z238" s="7">
        <f t="shared" si="3"/>
        <v>46.9</v>
      </c>
      <c r="AA238" s="7">
        <f>X238*설정!$B$11</f>
        <v>63.300000000000004</v>
      </c>
      <c r="AB238" s="3"/>
    </row>
    <row r="239" spans="1:28">
      <c r="A239" s="3" t="s">
        <v>1160</v>
      </c>
      <c r="B239" s="4" t="s">
        <v>1161</v>
      </c>
      <c r="C239" s="4" t="s">
        <v>1098</v>
      </c>
      <c r="D239" s="4" t="s">
        <v>31</v>
      </c>
      <c r="E239" s="4" t="s">
        <v>1162</v>
      </c>
      <c r="F239" s="4" t="s">
        <v>177</v>
      </c>
      <c r="G239" s="4" t="s">
        <v>138</v>
      </c>
      <c r="H239" s="5">
        <v>4</v>
      </c>
      <c r="I239" s="3" t="s">
        <v>1163</v>
      </c>
      <c r="J239" s="3" t="s">
        <v>36</v>
      </c>
      <c r="K239" s="3" t="s">
        <v>140</v>
      </c>
      <c r="L239" s="4" t="s">
        <v>1164</v>
      </c>
      <c r="M239" s="3"/>
      <c r="N239" s="3"/>
      <c r="O239" s="6">
        <v>1</v>
      </c>
      <c r="P239" s="6">
        <v>1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4" t="s">
        <v>1165</v>
      </c>
      <c r="W239" s="4" t="s">
        <v>1166</v>
      </c>
      <c r="X239" s="7">
        <f>설정!$B$4*H239+설정!$B$5*O239*(1+설정!$B$9*(O239-1))+설정!$B$6*P239*(1+설정!$B$9*(P239-1))+설정!$B$7*Q239*(1+설정!$B$9*(Q239-1))+설정!$B$8*R239*(1+설정!$B$9*(R239-1))</f>
        <v>420</v>
      </c>
      <c r="Y239" s="7">
        <f>설정!$B$10*(O239*(1+설정!$B$9*(O239-1))+P239*(1+설정!$B$9*(P239-1)))</f>
        <v>30</v>
      </c>
      <c r="Z239" s="7">
        <f t="shared" si="3"/>
        <v>26</v>
      </c>
      <c r="AA239" s="7">
        <f>X239*설정!$B$11</f>
        <v>42</v>
      </c>
      <c r="AB239" s="3"/>
    </row>
    <row r="240" spans="1:28">
      <c r="A240" s="3" t="s">
        <v>1167</v>
      </c>
      <c r="B240" s="4" t="s">
        <v>1168</v>
      </c>
      <c r="C240" s="4" t="s">
        <v>1098</v>
      </c>
      <c r="D240" s="4" t="s">
        <v>31</v>
      </c>
      <c r="E240" s="4" t="s">
        <v>1169</v>
      </c>
      <c r="F240" s="4" t="s">
        <v>177</v>
      </c>
      <c r="G240" s="4" t="s">
        <v>138</v>
      </c>
      <c r="H240" s="5">
        <v>3.9</v>
      </c>
      <c r="I240" s="3" t="s">
        <v>1170</v>
      </c>
      <c r="J240" s="3" t="s">
        <v>36</v>
      </c>
      <c r="K240" s="3" t="s">
        <v>37</v>
      </c>
      <c r="L240" s="3"/>
      <c r="M240" s="3"/>
      <c r="N240" s="3"/>
      <c r="O240" s="6">
        <v>2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3"/>
      <c r="W240" s="3"/>
      <c r="X240" s="7">
        <f>설정!$B$4*H240+설정!$B$5*O240*(1+설정!$B$9*(O240-1))+설정!$B$6*P240*(1+설정!$B$9*(P240-1))+설정!$B$7*Q240*(1+설정!$B$9*(Q240-1))+설정!$B$8*R240*(1+설정!$B$9*(R240-1))</f>
        <v>477</v>
      </c>
      <c r="Y240" s="7">
        <f>설정!$B$10*(O240*(1+설정!$B$9*(O240-1))+P240*(1+설정!$B$9*(P240-1)))</f>
        <v>36</v>
      </c>
      <c r="Z240" s="7">
        <f t="shared" si="3"/>
        <v>32.1</v>
      </c>
      <c r="AA240" s="7">
        <f>X240*설정!$B$11</f>
        <v>47.7</v>
      </c>
      <c r="AB240" s="3"/>
    </row>
    <row r="241" spans="1:28">
      <c r="A241" s="3" t="s">
        <v>1171</v>
      </c>
      <c r="B241" s="4" t="s">
        <v>1172</v>
      </c>
      <c r="C241" s="4" t="s">
        <v>1098</v>
      </c>
      <c r="D241" s="4" t="s">
        <v>31</v>
      </c>
      <c r="E241" s="4" t="s">
        <v>1173</v>
      </c>
      <c r="F241" s="4" t="s">
        <v>177</v>
      </c>
      <c r="G241" s="4" t="s">
        <v>138</v>
      </c>
      <c r="H241" s="5">
        <v>3.5</v>
      </c>
      <c r="I241" s="3" t="s">
        <v>1174</v>
      </c>
      <c r="J241" s="3" t="s">
        <v>36</v>
      </c>
      <c r="K241" s="3" t="s">
        <v>37</v>
      </c>
      <c r="L241" s="3"/>
      <c r="M241" s="3"/>
      <c r="N241" s="3"/>
      <c r="O241" s="6">
        <v>1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3"/>
      <c r="W241" s="4" t="s">
        <v>1175</v>
      </c>
      <c r="X241" s="7">
        <f>설정!$B$4*H241+설정!$B$5*O241*(1+설정!$B$9*(O241-1))+설정!$B$6*P241*(1+설정!$B$9*(P241-1))+설정!$B$7*Q241*(1+설정!$B$9*(Q241-1))+설정!$B$8*R241*(1+설정!$B$9*(R241-1))</f>
        <v>255</v>
      </c>
      <c r="Y241" s="7">
        <f>설정!$B$10*(O241*(1+설정!$B$9*(O241-1))+P241*(1+설정!$B$9*(P241-1)))</f>
        <v>15</v>
      </c>
      <c r="Z241" s="7">
        <f t="shared" si="3"/>
        <v>11.5</v>
      </c>
      <c r="AA241" s="7">
        <f>X241*설정!$B$11</f>
        <v>25.5</v>
      </c>
      <c r="AB241" s="3"/>
    </row>
    <row r="242" spans="1:28">
      <c r="A242" s="3" t="s">
        <v>1176</v>
      </c>
      <c r="B242" s="4" t="s">
        <v>1177</v>
      </c>
      <c r="C242" s="4" t="s">
        <v>1098</v>
      </c>
      <c r="D242" s="4" t="s">
        <v>31</v>
      </c>
      <c r="E242" s="4" t="s">
        <v>1178</v>
      </c>
      <c r="F242" s="4" t="s">
        <v>177</v>
      </c>
      <c r="G242" s="4" t="s">
        <v>138</v>
      </c>
      <c r="H242" s="5">
        <v>3.3</v>
      </c>
      <c r="I242" s="3" t="s">
        <v>1179</v>
      </c>
      <c r="J242" s="3" t="s">
        <v>36</v>
      </c>
      <c r="K242" s="3" t="s">
        <v>37</v>
      </c>
      <c r="L242" s="3"/>
      <c r="M242" s="3"/>
      <c r="N242" s="3"/>
      <c r="O242" s="6">
        <v>1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3"/>
      <c r="W242" s="4" t="s">
        <v>1180</v>
      </c>
      <c r="X242" s="7">
        <f>설정!$B$4*H242+설정!$B$5*O242*(1+설정!$B$9*(O242-1))+설정!$B$6*P242*(1+설정!$B$9*(P242-1))+설정!$B$7*Q242*(1+설정!$B$9*(Q242-1))+설정!$B$8*R242*(1+설정!$B$9*(R242-1))</f>
        <v>249</v>
      </c>
      <c r="Y242" s="7">
        <f>설정!$B$10*(O242*(1+설정!$B$9*(O242-1))+P242*(1+설정!$B$9*(P242-1)))</f>
        <v>15</v>
      </c>
      <c r="Z242" s="7">
        <f t="shared" si="3"/>
        <v>11.7</v>
      </c>
      <c r="AA242" s="7">
        <f>X242*설정!$B$11</f>
        <v>24.900000000000002</v>
      </c>
      <c r="AB242" s="3"/>
    </row>
    <row r="243" spans="1:28">
      <c r="A243" s="3" t="s">
        <v>1181</v>
      </c>
      <c r="B243" s="4" t="s">
        <v>1182</v>
      </c>
      <c r="C243" s="4" t="s">
        <v>1098</v>
      </c>
      <c r="D243" s="4" t="s">
        <v>31</v>
      </c>
      <c r="E243" s="4" t="s">
        <v>1183</v>
      </c>
      <c r="F243" s="4" t="s">
        <v>177</v>
      </c>
      <c r="G243" s="4" t="s">
        <v>138</v>
      </c>
      <c r="H243" s="5">
        <v>2.5</v>
      </c>
      <c r="I243" s="3" t="s">
        <v>1184</v>
      </c>
      <c r="J243" s="3" t="s">
        <v>36</v>
      </c>
      <c r="K243" s="3" t="s">
        <v>37</v>
      </c>
      <c r="L243" s="3"/>
      <c r="M243" s="3"/>
      <c r="N243" s="3"/>
      <c r="O243" s="6">
        <v>1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3"/>
      <c r="W243" s="3"/>
      <c r="X243" s="7">
        <f>설정!$B$4*H243+설정!$B$5*O243*(1+설정!$B$9*(O243-1))+설정!$B$6*P243*(1+설정!$B$9*(P243-1))+설정!$B$7*Q243*(1+설정!$B$9*(Q243-1))+설정!$B$8*R243*(1+설정!$B$9*(R243-1))</f>
        <v>225</v>
      </c>
      <c r="Y243" s="7">
        <f>설정!$B$10*(O243*(1+설정!$B$9*(O243-1))+P243*(1+설정!$B$9*(P243-1)))</f>
        <v>15</v>
      </c>
      <c r="Z243" s="7">
        <f t="shared" si="3"/>
        <v>12.5</v>
      </c>
      <c r="AA243" s="7">
        <f>X243*설정!$B$11</f>
        <v>22.5</v>
      </c>
      <c r="AB243" s="3"/>
    </row>
    <row r="244" spans="1:28">
      <c r="A244" s="3" t="s">
        <v>1185</v>
      </c>
      <c r="B244" s="4" t="s">
        <v>1186</v>
      </c>
      <c r="C244" s="4" t="s">
        <v>1187</v>
      </c>
      <c r="D244" s="4" t="s">
        <v>31</v>
      </c>
      <c r="E244" s="4" t="s">
        <v>1188</v>
      </c>
      <c r="F244" s="4" t="s">
        <v>362</v>
      </c>
      <c r="G244" s="4" t="s">
        <v>293</v>
      </c>
      <c r="H244" s="5">
        <v>48.4</v>
      </c>
      <c r="I244" s="3" t="s">
        <v>1189</v>
      </c>
      <c r="J244" s="3" t="s">
        <v>36</v>
      </c>
      <c r="K244" s="3" t="s">
        <v>140</v>
      </c>
      <c r="L244" s="4" t="s">
        <v>1190</v>
      </c>
      <c r="M244" s="4" t="s">
        <v>1094</v>
      </c>
      <c r="N244" s="3" t="s">
        <v>140</v>
      </c>
      <c r="O244" s="6">
        <v>1</v>
      </c>
      <c r="P244" s="6">
        <v>2</v>
      </c>
      <c r="Q244" s="6">
        <v>1</v>
      </c>
      <c r="R244" s="6">
        <v>2</v>
      </c>
      <c r="S244" s="6">
        <v>0</v>
      </c>
      <c r="T244" s="6">
        <v>0</v>
      </c>
      <c r="U244" s="6">
        <v>0</v>
      </c>
      <c r="V244" s="3"/>
      <c r="W244" s="4" t="s">
        <v>1191</v>
      </c>
      <c r="X244" s="7">
        <f>설정!$B$4*H244+설정!$B$5*O244*(1+설정!$B$9*(O244-1))+설정!$B$6*P244*(1+설정!$B$9*(P244-1))+설정!$B$7*Q244*(1+설정!$B$9*(Q244-1))+설정!$B$8*R244*(1+설정!$B$9*(R244-1))</f>
        <v>4402</v>
      </c>
      <c r="Y244" s="7">
        <f>설정!$B$10*(O244*(1+설정!$B$9*(O244-1))+P244*(1+설정!$B$9*(P244-1)))</f>
        <v>51</v>
      </c>
      <c r="Z244" s="7">
        <f t="shared" si="3"/>
        <v>2.6000000000000014</v>
      </c>
      <c r="AA244" s="7">
        <f>X244*설정!$B$11</f>
        <v>440.20000000000005</v>
      </c>
      <c r="AB244" s="3"/>
    </row>
    <row r="245" spans="1:28">
      <c r="A245" s="3" t="s">
        <v>1192</v>
      </c>
      <c r="B245" s="4" t="s">
        <v>1193</v>
      </c>
      <c r="C245" s="4" t="s">
        <v>1187</v>
      </c>
      <c r="D245" s="4" t="s">
        <v>31</v>
      </c>
      <c r="E245" s="4" t="s">
        <v>1194</v>
      </c>
      <c r="F245" s="4" t="s">
        <v>362</v>
      </c>
      <c r="G245" s="4" t="s">
        <v>293</v>
      </c>
      <c r="H245" s="5">
        <v>17.899999999999999</v>
      </c>
      <c r="I245" s="3" t="s">
        <v>1195</v>
      </c>
      <c r="J245" s="3" t="s">
        <v>36</v>
      </c>
      <c r="K245" s="3" t="s">
        <v>140</v>
      </c>
      <c r="L245" s="4" t="s">
        <v>1190</v>
      </c>
      <c r="M245" s="4" t="s">
        <v>1094</v>
      </c>
      <c r="N245" s="3" t="s">
        <v>140</v>
      </c>
      <c r="O245" s="6">
        <v>2</v>
      </c>
      <c r="P245" s="6">
        <v>2</v>
      </c>
      <c r="Q245" s="6">
        <v>1</v>
      </c>
      <c r="R245" s="6">
        <v>1</v>
      </c>
      <c r="S245" s="6">
        <v>0</v>
      </c>
      <c r="T245" s="6">
        <v>0</v>
      </c>
      <c r="U245" s="6">
        <v>0</v>
      </c>
      <c r="V245" s="3"/>
      <c r="W245" s="4" t="s">
        <v>1196</v>
      </c>
      <c r="X245" s="7">
        <f>설정!$B$4*H245+설정!$B$5*O245*(1+설정!$B$9*(O245-1))+설정!$B$6*P245*(1+설정!$B$9*(P245-1))+설정!$B$7*Q245*(1+설정!$B$9*(Q245-1))+설정!$B$8*R245*(1+설정!$B$9*(R245-1))</f>
        <v>2857</v>
      </c>
      <c r="Y245" s="7">
        <f>설정!$B$10*(O245*(1+설정!$B$9*(O245-1))+P245*(1+설정!$B$9*(P245-1)))</f>
        <v>72</v>
      </c>
      <c r="Z245" s="7">
        <f t="shared" si="3"/>
        <v>54.1</v>
      </c>
      <c r="AA245" s="7">
        <f>X245*설정!$B$11</f>
        <v>285.7</v>
      </c>
      <c r="AB245" s="3"/>
    </row>
    <row r="246" spans="1:28">
      <c r="A246" s="10" t="s">
        <v>1197</v>
      </c>
      <c r="B246" s="11" t="s">
        <v>1198</v>
      </c>
      <c r="C246" s="11" t="s">
        <v>1199</v>
      </c>
      <c r="D246" s="11" t="s">
        <v>597</v>
      </c>
      <c r="E246" s="11" t="s">
        <v>1200</v>
      </c>
      <c r="F246" s="4" t="s">
        <v>33</v>
      </c>
      <c r="G246" s="4" t="s">
        <v>1201</v>
      </c>
      <c r="H246" s="5">
        <v>48.3</v>
      </c>
      <c r="I246" s="3" t="s">
        <v>1202</v>
      </c>
      <c r="J246" s="3" t="s">
        <v>600</v>
      </c>
      <c r="K246" s="3" t="s">
        <v>37</v>
      </c>
      <c r="L246" s="3"/>
      <c r="M246" s="3"/>
      <c r="N246" s="3"/>
      <c r="O246" s="6">
        <v>0</v>
      </c>
      <c r="P246" s="6">
        <v>0</v>
      </c>
      <c r="Q246" s="6">
        <v>0</v>
      </c>
      <c r="R246" s="6">
        <v>2</v>
      </c>
      <c r="S246" s="6">
        <v>0</v>
      </c>
      <c r="T246" s="6">
        <v>0</v>
      </c>
      <c r="U246" s="6">
        <v>0</v>
      </c>
      <c r="V246" s="3"/>
      <c r="W246" s="3"/>
      <c r="X246" s="7">
        <f>설정!$B$4*H246+설정!$B$5*O246*(1+설정!$B$9*(O246-1))+설정!$B$6*P246*(1+설정!$B$9*(P246-1))+설정!$B$7*Q246*(1+설정!$B$9*(Q246-1))+설정!$B$8*R246*(1+설정!$B$9*(R246-1))</f>
        <v>2889</v>
      </c>
      <c r="Y246" s="7">
        <f>설정!$B$10*(O246*(1+설정!$B$9*(O246-1))+P246*(1+설정!$B$9*(P246-1)))</f>
        <v>0</v>
      </c>
      <c r="Z246" s="7">
        <f t="shared" si="3"/>
        <v>-48.3</v>
      </c>
      <c r="AA246" s="7">
        <f>X246*설정!$B$11</f>
        <v>288.90000000000003</v>
      </c>
      <c r="AB246" s="3"/>
    </row>
    <row r="247" spans="1:28">
      <c r="A247" s="10" t="s">
        <v>1203</v>
      </c>
      <c r="B247" s="11" t="s">
        <v>1204</v>
      </c>
      <c r="C247" s="11" t="s">
        <v>1199</v>
      </c>
      <c r="D247" s="11" t="s">
        <v>597</v>
      </c>
      <c r="E247" s="11" t="s">
        <v>1205</v>
      </c>
      <c r="F247" s="4" t="s">
        <v>33</v>
      </c>
      <c r="G247" s="4" t="s">
        <v>1201</v>
      </c>
      <c r="H247" s="5">
        <v>42.4</v>
      </c>
      <c r="I247" s="3" t="s">
        <v>1206</v>
      </c>
      <c r="J247" s="3" t="s">
        <v>600</v>
      </c>
      <c r="K247" s="3" t="s">
        <v>37</v>
      </c>
      <c r="L247" s="3"/>
      <c r="M247" s="3"/>
      <c r="N247" s="3"/>
      <c r="O247" s="6">
        <v>1</v>
      </c>
      <c r="P247" s="6">
        <v>0</v>
      </c>
      <c r="Q247" s="6">
        <v>1</v>
      </c>
      <c r="R247" s="6">
        <v>1</v>
      </c>
      <c r="S247" s="6">
        <v>0</v>
      </c>
      <c r="T247" s="6">
        <v>0</v>
      </c>
      <c r="U247" s="6">
        <v>0</v>
      </c>
      <c r="V247" s="3"/>
      <c r="W247" s="3"/>
      <c r="X247" s="7">
        <f>설정!$B$4*H247+설정!$B$5*O247*(1+설정!$B$9*(O247-1))+설정!$B$6*P247*(1+설정!$B$9*(P247-1))+설정!$B$7*Q247*(1+설정!$B$9*(Q247-1))+설정!$B$8*R247*(1+설정!$B$9*(R247-1))</f>
        <v>3022</v>
      </c>
      <c r="Y247" s="7">
        <f>설정!$B$10*(O247*(1+설정!$B$9*(O247-1))+P247*(1+설정!$B$9*(P247-1)))</f>
        <v>15</v>
      </c>
      <c r="Z247" s="7">
        <f t="shared" si="3"/>
        <v>-27.4</v>
      </c>
      <c r="AA247" s="7">
        <f>X247*설정!$B$11</f>
        <v>302.2</v>
      </c>
      <c r="AB247" s="3"/>
    </row>
    <row r="248" spans="1:28">
      <c r="A248" s="10" t="s">
        <v>1207</v>
      </c>
      <c r="B248" s="11" t="s">
        <v>1208</v>
      </c>
      <c r="C248" s="11" t="s">
        <v>1199</v>
      </c>
      <c r="D248" s="11" t="s">
        <v>597</v>
      </c>
      <c r="E248" s="11" t="s">
        <v>1209</v>
      </c>
      <c r="F248" s="4" t="s">
        <v>177</v>
      </c>
      <c r="G248" s="4" t="s">
        <v>1201</v>
      </c>
      <c r="H248" s="5">
        <v>33.200000000000003</v>
      </c>
      <c r="I248" s="3" t="s">
        <v>1210</v>
      </c>
      <c r="J248" s="3" t="s">
        <v>600</v>
      </c>
      <c r="K248" s="3" t="s">
        <v>37</v>
      </c>
      <c r="L248" s="3"/>
      <c r="M248" s="3"/>
      <c r="N248" s="3"/>
      <c r="O248" s="6">
        <v>1</v>
      </c>
      <c r="P248" s="6">
        <v>0</v>
      </c>
      <c r="Q248" s="6">
        <v>1</v>
      </c>
      <c r="R248" s="6">
        <v>0</v>
      </c>
      <c r="S248" s="6">
        <v>0</v>
      </c>
      <c r="T248" s="6">
        <v>2</v>
      </c>
      <c r="U248" s="6">
        <v>0</v>
      </c>
      <c r="V248" s="3"/>
      <c r="W248" s="3"/>
      <c r="X248" s="7">
        <f>설정!$B$4*H248+설정!$B$5*O248*(1+설정!$B$9*(O248-1))+설정!$B$6*P248*(1+설정!$B$9*(P248-1))+설정!$B$7*Q248*(1+설정!$B$9*(Q248-1))+설정!$B$8*R248*(1+설정!$B$9*(R248-1))</f>
        <v>2146</v>
      </c>
      <c r="Y248" s="7">
        <f>설정!$B$10*(O248*(1+설정!$B$9*(O248-1))+P248*(1+설정!$B$9*(P248-1)))</f>
        <v>15</v>
      </c>
      <c r="Z248" s="7">
        <f t="shared" si="3"/>
        <v>-18.200000000000003</v>
      </c>
      <c r="AA248" s="7">
        <f>X248*설정!$B$11</f>
        <v>214.60000000000002</v>
      </c>
      <c r="AB248" s="3"/>
    </row>
    <row r="249" spans="1:28">
      <c r="A249" s="10" t="s">
        <v>1211</v>
      </c>
      <c r="B249" s="11" t="s">
        <v>1212</v>
      </c>
      <c r="C249" s="11" t="s">
        <v>1199</v>
      </c>
      <c r="D249" s="11" t="s">
        <v>597</v>
      </c>
      <c r="E249" s="11" t="s">
        <v>1213</v>
      </c>
      <c r="F249" s="4" t="s">
        <v>33</v>
      </c>
      <c r="G249" s="4" t="s">
        <v>1201</v>
      </c>
      <c r="H249" s="5">
        <v>31.1</v>
      </c>
      <c r="I249" s="3" t="s">
        <v>1214</v>
      </c>
      <c r="J249" s="3" t="s">
        <v>600</v>
      </c>
      <c r="K249" s="3" t="s">
        <v>37</v>
      </c>
      <c r="L249" s="3"/>
      <c r="M249" s="3"/>
      <c r="N249" s="3"/>
      <c r="O249" s="6">
        <v>0</v>
      </c>
      <c r="P249" s="6">
        <v>0</v>
      </c>
      <c r="Q249" s="6">
        <v>2</v>
      </c>
      <c r="R249" s="6">
        <v>2</v>
      </c>
      <c r="S249" s="6">
        <v>0</v>
      </c>
      <c r="T249" s="6">
        <v>0</v>
      </c>
      <c r="U249" s="6">
        <v>0</v>
      </c>
      <c r="V249" s="3"/>
      <c r="W249" s="4" t="s">
        <v>1215</v>
      </c>
      <c r="X249" s="7">
        <f>설정!$B$4*H249+설정!$B$5*O249*(1+설정!$B$9*(O249-1))+설정!$B$6*P249*(1+설정!$B$9*(P249-1))+설정!$B$7*Q249*(1+설정!$B$9*(Q249-1))+설정!$B$8*R249*(1+설정!$B$9*(R249-1))</f>
        <v>4773</v>
      </c>
      <c r="Y249" s="7">
        <f>설정!$B$10*(O249*(1+설정!$B$9*(O249-1))+P249*(1+설정!$B$9*(P249-1)))</f>
        <v>0</v>
      </c>
      <c r="Z249" s="7">
        <f t="shared" si="3"/>
        <v>-31.1</v>
      </c>
      <c r="AA249" s="7">
        <f>X249*설정!$B$11</f>
        <v>477.3</v>
      </c>
      <c r="AB249" s="3"/>
    </row>
    <row r="250" spans="1:28">
      <c r="A250" s="10" t="s">
        <v>1216</v>
      </c>
      <c r="B250" s="11" t="s">
        <v>1217</v>
      </c>
      <c r="C250" s="11" t="s">
        <v>1199</v>
      </c>
      <c r="D250" s="11" t="s">
        <v>597</v>
      </c>
      <c r="E250" s="11" t="s">
        <v>1218</v>
      </c>
      <c r="F250" s="4" t="s">
        <v>33</v>
      </c>
      <c r="G250" s="4" t="s">
        <v>1201</v>
      </c>
      <c r="H250" s="5">
        <v>29.4</v>
      </c>
      <c r="I250" s="3" t="s">
        <v>1219</v>
      </c>
      <c r="J250" s="3" t="s">
        <v>600</v>
      </c>
      <c r="K250" s="3" t="s">
        <v>37</v>
      </c>
      <c r="L250" s="3"/>
      <c r="M250" s="3"/>
      <c r="N250" s="3"/>
      <c r="O250" s="6">
        <v>1</v>
      </c>
      <c r="P250" s="6">
        <v>0</v>
      </c>
      <c r="Q250" s="6">
        <v>1</v>
      </c>
      <c r="R250" s="6">
        <v>1</v>
      </c>
      <c r="S250" s="6">
        <v>0</v>
      </c>
      <c r="T250" s="6">
        <v>0</v>
      </c>
      <c r="U250" s="6">
        <v>0</v>
      </c>
      <c r="V250" s="3"/>
      <c r="W250" s="3"/>
      <c r="X250" s="7">
        <f>설정!$B$4*H250+설정!$B$5*O250*(1+설정!$B$9*(O250-1))+설정!$B$6*P250*(1+설정!$B$9*(P250-1))+설정!$B$7*Q250*(1+설정!$B$9*(Q250-1))+설정!$B$8*R250*(1+설정!$B$9*(R250-1))</f>
        <v>2632</v>
      </c>
      <c r="Y250" s="7">
        <f>설정!$B$10*(O250*(1+설정!$B$9*(O250-1))+P250*(1+설정!$B$9*(P250-1)))</f>
        <v>15</v>
      </c>
      <c r="Z250" s="7">
        <f t="shared" si="3"/>
        <v>-14.399999999999999</v>
      </c>
      <c r="AA250" s="7">
        <f>X250*설정!$B$11</f>
        <v>263.2</v>
      </c>
      <c r="AB250" s="3"/>
    </row>
    <row r="251" spans="1:28">
      <c r="A251" s="10" t="s">
        <v>1220</v>
      </c>
      <c r="B251" s="11" t="s">
        <v>1221</v>
      </c>
      <c r="C251" s="11" t="s">
        <v>1199</v>
      </c>
      <c r="D251" s="11" t="s">
        <v>597</v>
      </c>
      <c r="E251" s="11" t="s">
        <v>1222</v>
      </c>
      <c r="F251" s="4" t="s">
        <v>33</v>
      </c>
      <c r="G251" s="4" t="s">
        <v>1201</v>
      </c>
      <c r="H251" s="5">
        <v>27.2</v>
      </c>
      <c r="I251" s="3" t="s">
        <v>1223</v>
      </c>
      <c r="J251" s="3" t="s">
        <v>600</v>
      </c>
      <c r="K251" s="3" t="s">
        <v>37</v>
      </c>
      <c r="L251" s="3"/>
      <c r="M251" s="3"/>
      <c r="N251" s="3"/>
      <c r="O251" s="6">
        <v>0</v>
      </c>
      <c r="P251" s="6">
        <v>0</v>
      </c>
      <c r="Q251" s="6">
        <v>2</v>
      </c>
      <c r="R251" s="6">
        <v>2</v>
      </c>
      <c r="S251" s="6">
        <v>0</v>
      </c>
      <c r="T251" s="6">
        <v>0</v>
      </c>
      <c r="U251" s="6">
        <v>0</v>
      </c>
      <c r="V251" s="4" t="s">
        <v>1224</v>
      </c>
      <c r="W251" s="3"/>
      <c r="X251" s="7">
        <f>설정!$B$4*H251+설정!$B$5*O251*(1+설정!$B$9*(O251-1))+설정!$B$6*P251*(1+설정!$B$9*(P251-1))+설정!$B$7*Q251*(1+설정!$B$9*(Q251-1))+설정!$B$8*R251*(1+설정!$B$9*(R251-1))</f>
        <v>4656</v>
      </c>
      <c r="Y251" s="7">
        <f>설정!$B$10*(O251*(1+설정!$B$9*(O251-1))+P251*(1+설정!$B$9*(P251-1)))</f>
        <v>0</v>
      </c>
      <c r="Z251" s="7">
        <f t="shared" si="3"/>
        <v>-27.2</v>
      </c>
      <c r="AA251" s="7">
        <f>X251*설정!$B$11</f>
        <v>465.6</v>
      </c>
      <c r="AB251" s="3"/>
    </row>
    <row r="252" spans="1:28">
      <c r="A252" s="10" t="s">
        <v>1225</v>
      </c>
      <c r="B252" s="11" t="s">
        <v>1226</v>
      </c>
      <c r="C252" s="11" t="s">
        <v>1199</v>
      </c>
      <c r="D252" s="11" t="s">
        <v>597</v>
      </c>
      <c r="E252" s="11" t="s">
        <v>1227</v>
      </c>
      <c r="F252" s="4" t="s">
        <v>33</v>
      </c>
      <c r="G252" s="4" t="s">
        <v>1201</v>
      </c>
      <c r="H252" s="5">
        <v>24</v>
      </c>
      <c r="I252" s="3" t="s">
        <v>1228</v>
      </c>
      <c r="J252" s="3" t="s">
        <v>600</v>
      </c>
      <c r="K252" s="3" t="s">
        <v>37</v>
      </c>
      <c r="L252" s="3"/>
      <c r="M252" s="3"/>
      <c r="N252" s="3"/>
      <c r="O252" s="6">
        <v>1</v>
      </c>
      <c r="P252" s="6">
        <v>0</v>
      </c>
      <c r="Q252" s="6">
        <v>1</v>
      </c>
      <c r="R252" s="6">
        <v>1</v>
      </c>
      <c r="S252" s="6">
        <v>0</v>
      </c>
      <c r="T252" s="6">
        <v>0</v>
      </c>
      <c r="U252" s="6">
        <v>0</v>
      </c>
      <c r="V252" s="3"/>
      <c r="W252" s="3"/>
      <c r="X252" s="7">
        <f>설정!$B$4*H252+설정!$B$5*O252*(1+설정!$B$9*(O252-1))+설정!$B$6*P252*(1+설정!$B$9*(P252-1))+설정!$B$7*Q252*(1+설정!$B$9*(Q252-1))+설정!$B$8*R252*(1+설정!$B$9*(R252-1))</f>
        <v>2470</v>
      </c>
      <c r="Y252" s="7">
        <f>설정!$B$10*(O252*(1+설정!$B$9*(O252-1))+P252*(1+설정!$B$9*(P252-1)))</f>
        <v>15</v>
      </c>
      <c r="Z252" s="7">
        <f t="shared" si="3"/>
        <v>-9</v>
      </c>
      <c r="AA252" s="7">
        <f>X252*설정!$B$11</f>
        <v>247</v>
      </c>
      <c r="AB252" s="3"/>
    </row>
    <row r="253" spans="1:28">
      <c r="A253" s="10" t="s">
        <v>1229</v>
      </c>
      <c r="B253" s="11" t="s">
        <v>1230</v>
      </c>
      <c r="C253" s="11" t="s">
        <v>1199</v>
      </c>
      <c r="D253" s="11" t="s">
        <v>597</v>
      </c>
      <c r="E253" s="11" t="s">
        <v>1231</v>
      </c>
      <c r="F253" s="4" t="s">
        <v>33</v>
      </c>
      <c r="G253" s="4" t="s">
        <v>1201</v>
      </c>
      <c r="H253" s="5">
        <v>22.2</v>
      </c>
      <c r="I253" s="3" t="s">
        <v>1232</v>
      </c>
      <c r="J253" s="3" t="s">
        <v>600</v>
      </c>
      <c r="K253" s="3" t="s">
        <v>37</v>
      </c>
      <c r="L253" s="3"/>
      <c r="M253" s="3"/>
      <c r="N253" s="3"/>
      <c r="O253" s="6">
        <v>0</v>
      </c>
      <c r="P253" s="6">
        <v>0</v>
      </c>
      <c r="Q253" s="6">
        <v>1</v>
      </c>
      <c r="R253" s="6">
        <v>1</v>
      </c>
      <c r="S253" s="6">
        <v>0</v>
      </c>
      <c r="T253" s="6">
        <v>0</v>
      </c>
      <c r="U253" s="6">
        <v>0</v>
      </c>
      <c r="V253" s="3"/>
      <c r="W253" s="3"/>
      <c r="X253" s="7">
        <f>설정!$B$4*H253+설정!$B$5*O253*(1+설정!$B$9*(O253-1))+설정!$B$6*P253*(1+설정!$B$9*(P253-1))+설정!$B$7*Q253*(1+설정!$B$9*(Q253-1))+설정!$B$8*R253*(1+설정!$B$9*(R253-1))</f>
        <v>2266</v>
      </c>
      <c r="Y253" s="7">
        <f>설정!$B$10*(O253*(1+설정!$B$9*(O253-1))+P253*(1+설정!$B$9*(P253-1)))</f>
        <v>0</v>
      </c>
      <c r="Z253" s="7">
        <f t="shared" si="3"/>
        <v>-22.2</v>
      </c>
      <c r="AA253" s="7">
        <f>X253*설정!$B$11</f>
        <v>226.60000000000002</v>
      </c>
      <c r="AB253" s="3"/>
    </row>
    <row r="254" spans="1:28">
      <c r="A254" s="10" t="s">
        <v>1233</v>
      </c>
      <c r="B254" s="11" t="s">
        <v>1234</v>
      </c>
      <c r="C254" s="11" t="s">
        <v>1199</v>
      </c>
      <c r="D254" s="11" t="s">
        <v>597</v>
      </c>
      <c r="E254" s="11" t="s">
        <v>1235</v>
      </c>
      <c r="F254" s="4" t="s">
        <v>33</v>
      </c>
      <c r="G254" s="4" t="s">
        <v>1201</v>
      </c>
      <c r="H254" s="5">
        <v>22.1</v>
      </c>
      <c r="I254" s="3" t="s">
        <v>1236</v>
      </c>
      <c r="J254" s="3" t="s">
        <v>600</v>
      </c>
      <c r="K254" s="3" t="s">
        <v>37</v>
      </c>
      <c r="L254" s="3"/>
      <c r="M254" s="3"/>
      <c r="N254" s="3"/>
      <c r="O254" s="6">
        <v>0</v>
      </c>
      <c r="P254" s="6">
        <v>0</v>
      </c>
      <c r="Q254" s="6">
        <v>1</v>
      </c>
      <c r="R254" s="6">
        <v>2</v>
      </c>
      <c r="S254" s="6">
        <v>0</v>
      </c>
      <c r="T254" s="6">
        <v>0</v>
      </c>
      <c r="U254" s="6">
        <v>0</v>
      </c>
      <c r="V254" s="3"/>
      <c r="W254" s="3"/>
      <c r="X254" s="7">
        <f>설정!$B$4*H254+설정!$B$5*O254*(1+설정!$B$9*(O254-1))+설정!$B$6*P254*(1+설정!$B$9*(P254-1))+설정!$B$7*Q254*(1+설정!$B$9*(Q254-1))+설정!$B$8*R254*(1+설정!$B$9*(R254-1))</f>
        <v>3103</v>
      </c>
      <c r="Y254" s="7">
        <f>설정!$B$10*(O254*(1+설정!$B$9*(O254-1))+P254*(1+설정!$B$9*(P254-1)))</f>
        <v>0</v>
      </c>
      <c r="Z254" s="7">
        <f t="shared" si="3"/>
        <v>-22.1</v>
      </c>
      <c r="AA254" s="7">
        <f>X254*설정!$B$11</f>
        <v>310.3</v>
      </c>
      <c r="AB254" s="3"/>
    </row>
    <row r="255" spans="1:28">
      <c r="A255" s="10" t="s">
        <v>1237</v>
      </c>
      <c r="B255" s="11" t="s">
        <v>1238</v>
      </c>
      <c r="C255" s="11" t="s">
        <v>1199</v>
      </c>
      <c r="D255" s="11" t="s">
        <v>597</v>
      </c>
      <c r="E255" s="11" t="s">
        <v>1239</v>
      </c>
      <c r="F255" s="4" t="s">
        <v>33</v>
      </c>
      <c r="G255" s="4" t="s">
        <v>1201</v>
      </c>
      <c r="H255" s="5">
        <v>21.5</v>
      </c>
      <c r="I255" s="3" t="s">
        <v>1240</v>
      </c>
      <c r="J255" s="3" t="s">
        <v>600</v>
      </c>
      <c r="K255" s="3" t="s">
        <v>37</v>
      </c>
      <c r="L255" s="3"/>
      <c r="M255" s="3"/>
      <c r="N255" s="3"/>
      <c r="O255" s="6">
        <v>0</v>
      </c>
      <c r="P255" s="6">
        <v>0</v>
      </c>
      <c r="Q255" s="6">
        <v>1</v>
      </c>
      <c r="R255" s="6">
        <v>1</v>
      </c>
      <c r="S255" s="6">
        <v>0</v>
      </c>
      <c r="T255" s="6">
        <v>0</v>
      </c>
      <c r="U255" s="6">
        <v>0</v>
      </c>
      <c r="V255" s="4" t="s">
        <v>1241</v>
      </c>
      <c r="W255" s="3"/>
      <c r="X255" s="7">
        <f>설정!$B$4*H255+설정!$B$5*O255*(1+설정!$B$9*(O255-1))+설정!$B$6*P255*(1+설정!$B$9*(P255-1))+설정!$B$7*Q255*(1+설정!$B$9*(Q255-1))+설정!$B$8*R255*(1+설정!$B$9*(R255-1))</f>
        <v>2245</v>
      </c>
      <c r="Y255" s="7">
        <f>설정!$B$10*(O255*(1+설정!$B$9*(O255-1))+P255*(1+설정!$B$9*(P255-1)))</f>
        <v>0</v>
      </c>
      <c r="Z255" s="7">
        <f t="shared" si="3"/>
        <v>-21.5</v>
      </c>
      <c r="AA255" s="7">
        <f>X255*설정!$B$11</f>
        <v>224.5</v>
      </c>
      <c r="AB255" s="3"/>
    </row>
    <row r="256" spans="1:28">
      <c r="A256" s="10" t="s">
        <v>1242</v>
      </c>
      <c r="B256" s="11" t="s">
        <v>1243</v>
      </c>
      <c r="C256" s="11" t="s">
        <v>1199</v>
      </c>
      <c r="D256" s="11" t="s">
        <v>597</v>
      </c>
      <c r="E256" s="11" t="s">
        <v>1244</v>
      </c>
      <c r="F256" s="4" t="s">
        <v>33</v>
      </c>
      <c r="G256" s="4" t="s">
        <v>1201</v>
      </c>
      <c r="H256" s="5">
        <v>21.5</v>
      </c>
      <c r="I256" s="3" t="s">
        <v>1245</v>
      </c>
      <c r="J256" s="3" t="s">
        <v>600</v>
      </c>
      <c r="K256" s="3" t="s">
        <v>37</v>
      </c>
      <c r="L256" s="3"/>
      <c r="M256" s="3"/>
      <c r="N256" s="3"/>
      <c r="O256" s="6">
        <v>0</v>
      </c>
      <c r="P256" s="6">
        <v>0</v>
      </c>
      <c r="Q256" s="6">
        <v>0</v>
      </c>
      <c r="R256" s="6">
        <v>2</v>
      </c>
      <c r="S256" s="6">
        <v>0</v>
      </c>
      <c r="T256" s="6">
        <v>0</v>
      </c>
      <c r="U256" s="6">
        <v>0</v>
      </c>
      <c r="V256" s="3"/>
      <c r="W256" s="3"/>
      <c r="X256" s="7">
        <f>설정!$B$4*H256+설정!$B$5*O256*(1+설정!$B$9*(O256-1))+설정!$B$6*P256*(1+설정!$B$9*(P256-1))+설정!$B$7*Q256*(1+설정!$B$9*(Q256-1))+설정!$B$8*R256*(1+설정!$B$9*(R256-1))</f>
        <v>2085</v>
      </c>
      <c r="Y256" s="7">
        <f>설정!$B$10*(O256*(1+설정!$B$9*(O256-1))+P256*(1+설정!$B$9*(P256-1)))</f>
        <v>0</v>
      </c>
      <c r="Z256" s="7">
        <f t="shared" si="3"/>
        <v>-21.5</v>
      </c>
      <c r="AA256" s="7">
        <f>X256*설정!$B$11</f>
        <v>208.5</v>
      </c>
      <c r="AB256" s="3"/>
    </row>
    <row r="257" spans="1:28">
      <c r="A257" s="10" t="s">
        <v>1246</v>
      </c>
      <c r="B257" s="11" t="s">
        <v>1247</v>
      </c>
      <c r="C257" s="11" t="s">
        <v>1199</v>
      </c>
      <c r="D257" s="11" t="s">
        <v>597</v>
      </c>
      <c r="E257" s="11" t="s">
        <v>1248</v>
      </c>
      <c r="F257" s="4" t="s">
        <v>33</v>
      </c>
      <c r="G257" s="4" t="s">
        <v>1201</v>
      </c>
      <c r="H257" s="5">
        <v>21.1</v>
      </c>
      <c r="I257" s="3" t="s">
        <v>1249</v>
      </c>
      <c r="J257" s="3" t="s">
        <v>600</v>
      </c>
      <c r="K257" s="3" t="s">
        <v>37</v>
      </c>
      <c r="L257" s="3"/>
      <c r="M257" s="3"/>
      <c r="N257" s="3"/>
      <c r="O257" s="6">
        <v>1</v>
      </c>
      <c r="P257" s="6">
        <v>0</v>
      </c>
      <c r="Q257" s="6">
        <v>1</v>
      </c>
      <c r="R257" s="6">
        <v>1</v>
      </c>
      <c r="S257" s="6">
        <v>0</v>
      </c>
      <c r="T257" s="6">
        <v>1</v>
      </c>
      <c r="U257" s="6">
        <v>0</v>
      </c>
      <c r="V257" s="3"/>
      <c r="W257" s="3"/>
      <c r="X257" s="7">
        <f>설정!$B$4*H257+설정!$B$5*O257*(1+설정!$B$9*(O257-1))+설정!$B$6*P257*(1+설정!$B$9*(P257-1))+설정!$B$7*Q257*(1+설정!$B$9*(Q257-1))+설정!$B$8*R257*(1+설정!$B$9*(R257-1))</f>
        <v>2383</v>
      </c>
      <c r="Y257" s="7">
        <f>설정!$B$10*(O257*(1+설정!$B$9*(O257-1))+P257*(1+설정!$B$9*(P257-1)))</f>
        <v>15</v>
      </c>
      <c r="Z257" s="7">
        <f t="shared" si="3"/>
        <v>-6.1000000000000014</v>
      </c>
      <c r="AA257" s="7">
        <f>X257*설정!$B$11</f>
        <v>238.3</v>
      </c>
      <c r="AB257" s="3"/>
    </row>
    <row r="258" spans="1:28">
      <c r="A258" s="10" t="s">
        <v>1250</v>
      </c>
      <c r="B258" s="11" t="s">
        <v>1251</v>
      </c>
      <c r="C258" s="11" t="s">
        <v>1199</v>
      </c>
      <c r="D258" s="11" t="s">
        <v>597</v>
      </c>
      <c r="E258" s="11" t="s">
        <v>1252</v>
      </c>
      <c r="F258" s="4" t="s">
        <v>33</v>
      </c>
      <c r="G258" s="4" t="s">
        <v>1201</v>
      </c>
      <c r="H258" s="5">
        <v>19.7</v>
      </c>
      <c r="I258" s="3" t="s">
        <v>1253</v>
      </c>
      <c r="J258" s="3" t="s">
        <v>600</v>
      </c>
      <c r="K258" s="3" t="s">
        <v>37</v>
      </c>
      <c r="L258" s="3"/>
      <c r="M258" s="3"/>
      <c r="N258" s="3"/>
      <c r="O258" s="6">
        <v>0</v>
      </c>
      <c r="P258" s="6">
        <v>0</v>
      </c>
      <c r="Q258" s="6">
        <v>0</v>
      </c>
      <c r="R258" s="6">
        <v>2</v>
      </c>
      <c r="S258" s="6">
        <v>0</v>
      </c>
      <c r="T258" s="6">
        <v>0</v>
      </c>
      <c r="U258" s="6">
        <v>0</v>
      </c>
      <c r="V258" s="3"/>
      <c r="W258" s="4" t="s">
        <v>1254</v>
      </c>
      <c r="X258" s="7">
        <f>설정!$B$4*H258+설정!$B$5*O258*(1+설정!$B$9*(O258-1))+설정!$B$6*P258*(1+설정!$B$9*(P258-1))+설정!$B$7*Q258*(1+설정!$B$9*(Q258-1))+설정!$B$8*R258*(1+설정!$B$9*(R258-1))</f>
        <v>2031</v>
      </c>
      <c r="Y258" s="7">
        <f>설정!$B$10*(O258*(1+설정!$B$9*(O258-1))+P258*(1+설정!$B$9*(P258-1)))</f>
        <v>0</v>
      </c>
      <c r="Z258" s="7">
        <f t="shared" ref="Z258:Z321" si="4">Y258-H258</f>
        <v>-19.7</v>
      </c>
      <c r="AA258" s="7">
        <f>X258*설정!$B$11</f>
        <v>203.10000000000002</v>
      </c>
      <c r="AB258" s="3"/>
    </row>
    <row r="259" spans="1:28">
      <c r="A259" s="10" t="s">
        <v>1255</v>
      </c>
      <c r="B259" s="11" t="s">
        <v>1256</v>
      </c>
      <c r="C259" s="11" t="s">
        <v>1199</v>
      </c>
      <c r="D259" s="11" t="s">
        <v>597</v>
      </c>
      <c r="E259" s="11" t="s">
        <v>1257</v>
      </c>
      <c r="F259" s="4" t="s">
        <v>33</v>
      </c>
      <c r="G259" s="4" t="s">
        <v>1201</v>
      </c>
      <c r="H259" s="5">
        <v>17.399999999999999</v>
      </c>
      <c r="I259" s="3" t="s">
        <v>1258</v>
      </c>
      <c r="J259" s="3" t="s">
        <v>600</v>
      </c>
      <c r="K259" s="3" t="s">
        <v>37</v>
      </c>
      <c r="L259" s="3"/>
      <c r="M259" s="3"/>
      <c r="N259" s="3"/>
      <c r="O259" s="6">
        <v>0</v>
      </c>
      <c r="P259" s="6">
        <v>0</v>
      </c>
      <c r="Q259" s="6">
        <v>0</v>
      </c>
      <c r="R259" s="6">
        <v>1</v>
      </c>
      <c r="S259" s="6">
        <v>0</v>
      </c>
      <c r="T259" s="6">
        <v>0</v>
      </c>
      <c r="U259" s="6">
        <v>0</v>
      </c>
      <c r="V259" s="3"/>
      <c r="W259" s="3"/>
      <c r="X259" s="7">
        <f>설정!$B$4*H259+설정!$B$5*O259*(1+설정!$B$9*(O259-1))+설정!$B$6*P259*(1+설정!$B$9*(P259-1))+설정!$B$7*Q259*(1+설정!$B$9*(Q259-1))+설정!$B$8*R259*(1+설정!$B$9*(R259-1))</f>
        <v>1122</v>
      </c>
      <c r="Y259" s="7">
        <f>설정!$B$10*(O259*(1+설정!$B$9*(O259-1))+P259*(1+설정!$B$9*(P259-1)))</f>
        <v>0</v>
      </c>
      <c r="Z259" s="7">
        <f t="shared" si="4"/>
        <v>-17.399999999999999</v>
      </c>
      <c r="AA259" s="7">
        <f>X259*설정!$B$11</f>
        <v>112.2</v>
      </c>
      <c r="AB259" s="3"/>
    </row>
    <row r="260" spans="1:28">
      <c r="A260" s="10" t="s">
        <v>1259</v>
      </c>
      <c r="B260" s="11" t="s">
        <v>1260</v>
      </c>
      <c r="C260" s="11" t="s">
        <v>1199</v>
      </c>
      <c r="D260" s="11" t="s">
        <v>597</v>
      </c>
      <c r="E260" s="11" t="s">
        <v>1261</v>
      </c>
      <c r="F260" s="4" t="s">
        <v>33</v>
      </c>
      <c r="G260" s="4" t="s">
        <v>1201</v>
      </c>
      <c r="H260" s="5">
        <v>15.8</v>
      </c>
      <c r="I260" s="3" t="s">
        <v>1262</v>
      </c>
      <c r="J260" s="3" t="s">
        <v>600</v>
      </c>
      <c r="K260" s="3" t="s">
        <v>37</v>
      </c>
      <c r="L260" s="3"/>
      <c r="M260" s="3"/>
      <c r="N260" s="3"/>
      <c r="O260" s="6">
        <v>0</v>
      </c>
      <c r="P260" s="6">
        <v>0</v>
      </c>
      <c r="Q260" s="6">
        <v>0</v>
      </c>
      <c r="R260" s="6">
        <v>2</v>
      </c>
      <c r="S260" s="6">
        <v>0</v>
      </c>
      <c r="T260" s="6">
        <v>0</v>
      </c>
      <c r="U260" s="6">
        <v>0</v>
      </c>
      <c r="V260" s="3"/>
      <c r="W260" s="3"/>
      <c r="X260" s="7">
        <f>설정!$B$4*H260+설정!$B$5*O260*(1+설정!$B$9*(O260-1))+설정!$B$6*P260*(1+설정!$B$9*(P260-1))+설정!$B$7*Q260*(1+설정!$B$9*(Q260-1))+설정!$B$8*R260*(1+설정!$B$9*(R260-1))</f>
        <v>1914</v>
      </c>
      <c r="Y260" s="7">
        <f>설정!$B$10*(O260*(1+설정!$B$9*(O260-1))+P260*(1+설정!$B$9*(P260-1)))</f>
        <v>0</v>
      </c>
      <c r="Z260" s="7">
        <f t="shared" si="4"/>
        <v>-15.8</v>
      </c>
      <c r="AA260" s="7">
        <f>X260*설정!$B$11</f>
        <v>191.4</v>
      </c>
      <c r="AB260" s="3"/>
    </row>
    <row r="261" spans="1:28">
      <c r="A261" s="10" t="s">
        <v>1263</v>
      </c>
      <c r="B261" s="11" t="s">
        <v>1264</v>
      </c>
      <c r="C261" s="11" t="s">
        <v>1199</v>
      </c>
      <c r="D261" s="11" t="s">
        <v>597</v>
      </c>
      <c r="E261" s="11" t="s">
        <v>1265</v>
      </c>
      <c r="F261" s="4" t="s">
        <v>33</v>
      </c>
      <c r="G261" s="4" t="s">
        <v>1201</v>
      </c>
      <c r="H261" s="5">
        <v>13.8</v>
      </c>
      <c r="I261" s="3" t="s">
        <v>1266</v>
      </c>
      <c r="J261" s="3" t="s">
        <v>600</v>
      </c>
      <c r="K261" s="3" t="s">
        <v>37</v>
      </c>
      <c r="L261" s="3"/>
      <c r="M261" s="3"/>
      <c r="N261" s="3"/>
      <c r="O261" s="6">
        <v>1</v>
      </c>
      <c r="P261" s="6">
        <v>0</v>
      </c>
      <c r="Q261" s="6">
        <v>0</v>
      </c>
      <c r="R261" s="6">
        <v>1</v>
      </c>
      <c r="S261" s="6">
        <v>0</v>
      </c>
      <c r="T261" s="6">
        <v>0</v>
      </c>
      <c r="U261" s="6">
        <v>0</v>
      </c>
      <c r="V261" s="3"/>
      <c r="W261" s="3"/>
      <c r="X261" s="7">
        <f>설정!$B$4*H261+설정!$B$5*O261*(1+설정!$B$9*(O261-1))+설정!$B$6*P261*(1+설정!$B$9*(P261-1))+설정!$B$7*Q261*(1+설정!$B$9*(Q261-1))+설정!$B$8*R261*(1+설정!$B$9*(R261-1))</f>
        <v>1164</v>
      </c>
      <c r="Y261" s="7">
        <f>설정!$B$10*(O261*(1+설정!$B$9*(O261-1))+P261*(1+설정!$B$9*(P261-1)))</f>
        <v>15</v>
      </c>
      <c r="Z261" s="7">
        <f t="shared" si="4"/>
        <v>1.1999999999999993</v>
      </c>
      <c r="AA261" s="7">
        <f>X261*설정!$B$11</f>
        <v>116.4</v>
      </c>
      <c r="AB261" s="3"/>
    </row>
    <row r="262" spans="1:28">
      <c r="A262" s="10" t="s">
        <v>1267</v>
      </c>
      <c r="B262" s="11" t="s">
        <v>1268</v>
      </c>
      <c r="C262" s="11" t="s">
        <v>1199</v>
      </c>
      <c r="D262" s="11" t="s">
        <v>597</v>
      </c>
      <c r="E262" s="11" t="s">
        <v>1269</v>
      </c>
      <c r="F262" s="4" t="s">
        <v>33</v>
      </c>
      <c r="G262" s="4" t="s">
        <v>1201</v>
      </c>
      <c r="H262" s="5">
        <v>12.4</v>
      </c>
      <c r="I262" s="3" t="s">
        <v>1270</v>
      </c>
      <c r="J262" s="3" t="s">
        <v>600</v>
      </c>
      <c r="K262" s="3" t="s">
        <v>37</v>
      </c>
      <c r="L262" s="3"/>
      <c r="M262" s="3"/>
      <c r="N262" s="3"/>
      <c r="O262" s="6">
        <v>1</v>
      </c>
      <c r="P262" s="6">
        <v>0</v>
      </c>
      <c r="Q262" s="6">
        <v>1</v>
      </c>
      <c r="R262" s="6">
        <v>1</v>
      </c>
      <c r="S262" s="6">
        <v>0</v>
      </c>
      <c r="T262" s="6">
        <v>0</v>
      </c>
      <c r="U262" s="6">
        <v>0</v>
      </c>
      <c r="V262" s="3"/>
      <c r="W262" s="3"/>
      <c r="X262" s="7">
        <f>설정!$B$4*H262+설정!$B$5*O262*(1+설정!$B$9*(O262-1))+설정!$B$6*P262*(1+설정!$B$9*(P262-1))+설정!$B$7*Q262*(1+설정!$B$9*(Q262-1))+설정!$B$8*R262*(1+설정!$B$9*(R262-1))</f>
        <v>2122</v>
      </c>
      <c r="Y262" s="7">
        <f>설정!$B$10*(O262*(1+설정!$B$9*(O262-1))+P262*(1+설정!$B$9*(P262-1)))</f>
        <v>15</v>
      </c>
      <c r="Z262" s="7">
        <f t="shared" si="4"/>
        <v>2.5999999999999996</v>
      </c>
      <c r="AA262" s="7">
        <f>X262*설정!$B$11</f>
        <v>212.20000000000002</v>
      </c>
      <c r="AB262" s="3"/>
    </row>
    <row r="263" spans="1:28">
      <c r="A263" s="10" t="s">
        <v>1271</v>
      </c>
      <c r="B263" s="11" t="s">
        <v>1272</v>
      </c>
      <c r="C263" s="11" t="s">
        <v>1199</v>
      </c>
      <c r="D263" s="11" t="s">
        <v>597</v>
      </c>
      <c r="E263" s="11" t="s">
        <v>1273</v>
      </c>
      <c r="F263" s="4" t="s">
        <v>177</v>
      </c>
      <c r="G263" s="4" t="s">
        <v>1201</v>
      </c>
      <c r="H263" s="5">
        <v>10.4</v>
      </c>
      <c r="I263" s="3" t="s">
        <v>1274</v>
      </c>
      <c r="J263" s="3" t="s">
        <v>600</v>
      </c>
      <c r="K263" s="3" t="s">
        <v>37</v>
      </c>
      <c r="L263" s="3"/>
      <c r="M263" s="3"/>
      <c r="N263" s="3"/>
      <c r="O263" s="6">
        <v>2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3"/>
      <c r="W263" s="4" t="s">
        <v>1275</v>
      </c>
      <c r="X263" s="7">
        <f>설정!$B$4*H263+설정!$B$5*O263*(1+설정!$B$9*(O263-1))+설정!$B$6*P263*(1+설정!$B$9*(P263-1))+설정!$B$7*Q263*(1+설정!$B$9*(Q263-1))+설정!$B$8*R263*(1+설정!$B$9*(R263-1))</f>
        <v>672</v>
      </c>
      <c r="Y263" s="7">
        <f>설정!$B$10*(O263*(1+설정!$B$9*(O263-1))+P263*(1+설정!$B$9*(P263-1)))</f>
        <v>36</v>
      </c>
      <c r="Z263" s="7">
        <f t="shared" si="4"/>
        <v>25.6</v>
      </c>
      <c r="AA263" s="7">
        <f>X263*설정!$B$11</f>
        <v>67.2</v>
      </c>
      <c r="AB263" s="3"/>
    </row>
    <row r="264" spans="1:28">
      <c r="A264" s="10" t="s">
        <v>1276</v>
      </c>
      <c r="B264" s="11" t="s">
        <v>1277</v>
      </c>
      <c r="C264" s="11" t="s">
        <v>1199</v>
      </c>
      <c r="D264" s="11" t="s">
        <v>597</v>
      </c>
      <c r="E264" s="11" t="s">
        <v>1278</v>
      </c>
      <c r="F264" s="4" t="s">
        <v>33</v>
      </c>
      <c r="G264" s="4" t="s">
        <v>1201</v>
      </c>
      <c r="H264" s="5">
        <v>9.4</v>
      </c>
      <c r="I264" s="3" t="s">
        <v>1279</v>
      </c>
      <c r="J264" s="3" t="s">
        <v>600</v>
      </c>
      <c r="K264" s="3" t="s">
        <v>37</v>
      </c>
      <c r="L264" s="3"/>
      <c r="M264" s="3"/>
      <c r="N264" s="3"/>
      <c r="O264" s="6">
        <v>1</v>
      </c>
      <c r="P264" s="6">
        <v>0</v>
      </c>
      <c r="Q264" s="6">
        <v>0</v>
      </c>
      <c r="R264" s="6">
        <v>1</v>
      </c>
      <c r="S264" s="6">
        <v>0</v>
      </c>
      <c r="T264" s="6">
        <v>0</v>
      </c>
      <c r="U264" s="6">
        <v>0</v>
      </c>
      <c r="V264" s="3"/>
      <c r="W264" s="3"/>
      <c r="X264" s="7">
        <f>설정!$B$4*H264+설정!$B$5*O264*(1+설정!$B$9*(O264-1))+설정!$B$6*P264*(1+설정!$B$9*(P264-1))+설정!$B$7*Q264*(1+설정!$B$9*(Q264-1))+설정!$B$8*R264*(1+설정!$B$9*(R264-1))</f>
        <v>1032</v>
      </c>
      <c r="Y264" s="7">
        <f>설정!$B$10*(O264*(1+설정!$B$9*(O264-1))+P264*(1+설정!$B$9*(P264-1)))</f>
        <v>15</v>
      </c>
      <c r="Z264" s="7">
        <f t="shared" si="4"/>
        <v>5.6</v>
      </c>
      <c r="AA264" s="7">
        <f>X264*설정!$B$11</f>
        <v>103.2</v>
      </c>
      <c r="AB264" s="3"/>
    </row>
    <row r="265" spans="1:28">
      <c r="A265" s="10" t="s">
        <v>1280</v>
      </c>
      <c r="B265" s="11" t="s">
        <v>1281</v>
      </c>
      <c r="C265" s="11" t="s">
        <v>1199</v>
      </c>
      <c r="D265" s="11" t="s">
        <v>597</v>
      </c>
      <c r="E265" s="11" t="s">
        <v>1282</v>
      </c>
      <c r="F265" s="4" t="s">
        <v>33</v>
      </c>
      <c r="G265" s="4" t="s">
        <v>1201</v>
      </c>
      <c r="H265" s="5">
        <v>7.1</v>
      </c>
      <c r="I265" s="3" t="s">
        <v>1283</v>
      </c>
      <c r="J265" s="3" t="s">
        <v>600</v>
      </c>
      <c r="K265" s="3" t="s">
        <v>37</v>
      </c>
      <c r="L265" s="3"/>
      <c r="M265" s="3"/>
      <c r="N265" s="3"/>
      <c r="O265" s="6">
        <v>0</v>
      </c>
      <c r="P265" s="6">
        <v>0</v>
      </c>
      <c r="Q265" s="6">
        <v>0</v>
      </c>
      <c r="R265" s="6">
        <v>1</v>
      </c>
      <c r="S265" s="6">
        <v>0</v>
      </c>
      <c r="T265" s="6">
        <v>0</v>
      </c>
      <c r="U265" s="6">
        <v>0</v>
      </c>
      <c r="V265" s="3"/>
      <c r="W265" s="3"/>
      <c r="X265" s="7">
        <f>설정!$B$4*H265+설정!$B$5*O265*(1+설정!$B$9*(O265-1))+설정!$B$6*P265*(1+설정!$B$9*(P265-1))+설정!$B$7*Q265*(1+설정!$B$9*(Q265-1))+설정!$B$8*R265*(1+설정!$B$9*(R265-1))</f>
        <v>813</v>
      </c>
      <c r="Y265" s="7">
        <f>설정!$B$10*(O265*(1+설정!$B$9*(O265-1))+P265*(1+설정!$B$9*(P265-1)))</f>
        <v>0</v>
      </c>
      <c r="Z265" s="7">
        <f t="shared" si="4"/>
        <v>-7.1</v>
      </c>
      <c r="AA265" s="7">
        <f>X265*설정!$B$11</f>
        <v>81.300000000000011</v>
      </c>
      <c r="AB265" s="3"/>
    </row>
    <row r="266" spans="1:28">
      <c r="A266" s="10" t="s">
        <v>1284</v>
      </c>
      <c r="B266" s="11" t="s">
        <v>1285</v>
      </c>
      <c r="C266" s="11" t="s">
        <v>1286</v>
      </c>
      <c r="D266" s="11" t="s">
        <v>597</v>
      </c>
      <c r="E266" s="11" t="s">
        <v>1287</v>
      </c>
      <c r="F266" s="4" t="s">
        <v>33</v>
      </c>
      <c r="G266" s="4" t="s">
        <v>1201</v>
      </c>
      <c r="H266" s="5">
        <v>55</v>
      </c>
      <c r="I266" s="3" t="s">
        <v>1288</v>
      </c>
      <c r="J266" s="3" t="s">
        <v>600</v>
      </c>
      <c r="K266" s="3" t="s">
        <v>140</v>
      </c>
      <c r="L266" s="4" t="s">
        <v>1289</v>
      </c>
      <c r="M266" s="3"/>
      <c r="N266" s="3"/>
      <c r="O266" s="6">
        <v>0</v>
      </c>
      <c r="P266" s="6">
        <v>1</v>
      </c>
      <c r="Q266" s="6">
        <v>2</v>
      </c>
      <c r="R266" s="6">
        <v>2</v>
      </c>
      <c r="S266" s="6">
        <v>0</v>
      </c>
      <c r="T266" s="6">
        <v>0</v>
      </c>
      <c r="U266" s="6">
        <v>0</v>
      </c>
      <c r="V266" s="3"/>
      <c r="W266" s="3"/>
      <c r="X266" s="7">
        <f>설정!$B$4*H266+설정!$B$5*O266*(1+설정!$B$9*(O266-1))+설정!$B$6*P266*(1+설정!$B$9*(P266-1))+설정!$B$7*Q266*(1+설정!$B$9*(Q266-1))+설정!$B$8*R266*(1+설정!$B$9*(R266-1))</f>
        <v>5640</v>
      </c>
      <c r="Y266" s="7">
        <f>설정!$B$10*(O266*(1+설정!$B$9*(O266-1))+P266*(1+설정!$B$9*(P266-1)))</f>
        <v>15</v>
      </c>
      <c r="Z266" s="7">
        <f t="shared" si="4"/>
        <v>-40</v>
      </c>
      <c r="AA266" s="7">
        <f>X266*설정!$B$11</f>
        <v>564</v>
      </c>
      <c r="AB266" s="3"/>
    </row>
    <row r="267" spans="1:28">
      <c r="A267" s="10" t="s">
        <v>1290</v>
      </c>
      <c r="B267" s="11" t="s">
        <v>1291</v>
      </c>
      <c r="C267" s="11" t="s">
        <v>1286</v>
      </c>
      <c r="D267" s="11" t="s">
        <v>597</v>
      </c>
      <c r="E267" s="11" t="s">
        <v>1292</v>
      </c>
      <c r="F267" s="4" t="s">
        <v>33</v>
      </c>
      <c r="G267" s="4" t="s">
        <v>1201</v>
      </c>
      <c r="H267" s="5">
        <v>28.7</v>
      </c>
      <c r="I267" s="3" t="s">
        <v>1293</v>
      </c>
      <c r="J267" s="3" t="s">
        <v>600</v>
      </c>
      <c r="K267" s="3" t="s">
        <v>37</v>
      </c>
      <c r="L267" s="3"/>
      <c r="M267" s="3"/>
      <c r="N267" s="3"/>
      <c r="O267" s="6">
        <v>2</v>
      </c>
      <c r="P267" s="6">
        <v>0</v>
      </c>
      <c r="Q267" s="6">
        <v>1</v>
      </c>
      <c r="R267" s="6">
        <v>1</v>
      </c>
      <c r="S267" s="6">
        <v>0</v>
      </c>
      <c r="T267" s="6">
        <v>0</v>
      </c>
      <c r="U267" s="6">
        <v>0</v>
      </c>
      <c r="V267" s="3"/>
      <c r="W267" s="4" t="s">
        <v>1294</v>
      </c>
      <c r="X267" s="7">
        <f>설정!$B$4*H267+설정!$B$5*O267*(1+설정!$B$9*(O267-1))+설정!$B$6*P267*(1+설정!$B$9*(P267-1))+설정!$B$7*Q267*(1+설정!$B$9*(Q267-1))+설정!$B$8*R267*(1+설정!$B$9*(R267-1))</f>
        <v>2821</v>
      </c>
      <c r="Y267" s="7">
        <f>설정!$B$10*(O267*(1+설정!$B$9*(O267-1))+P267*(1+설정!$B$9*(P267-1)))</f>
        <v>36</v>
      </c>
      <c r="Z267" s="7">
        <f t="shared" si="4"/>
        <v>7.3000000000000007</v>
      </c>
      <c r="AA267" s="7">
        <f>X267*설정!$B$11</f>
        <v>282.10000000000002</v>
      </c>
      <c r="AB267" s="3"/>
    </row>
    <row r="268" spans="1:28">
      <c r="A268" s="10" t="s">
        <v>1295</v>
      </c>
      <c r="B268" s="11" t="s">
        <v>1296</v>
      </c>
      <c r="C268" s="11" t="s">
        <v>1286</v>
      </c>
      <c r="D268" s="11" t="s">
        <v>597</v>
      </c>
      <c r="E268" s="11" t="s">
        <v>1297</v>
      </c>
      <c r="F268" s="4" t="s">
        <v>177</v>
      </c>
      <c r="G268" s="4" t="s">
        <v>1201</v>
      </c>
      <c r="H268" s="5">
        <v>22.5</v>
      </c>
      <c r="I268" s="3" t="s">
        <v>1298</v>
      </c>
      <c r="J268" s="3" t="s">
        <v>600</v>
      </c>
      <c r="K268" s="3" t="s">
        <v>140</v>
      </c>
      <c r="L268" s="4" t="s">
        <v>1289</v>
      </c>
      <c r="M268" s="3"/>
      <c r="N268" s="3"/>
      <c r="O268" s="6">
        <v>2</v>
      </c>
      <c r="P268" s="6">
        <v>1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3"/>
      <c r="W268" s="4" t="s">
        <v>1299</v>
      </c>
      <c r="X268" s="7">
        <f>설정!$B$4*H268+설정!$B$5*O268*(1+설정!$B$9*(O268-1))+설정!$B$6*P268*(1+설정!$B$9*(P268-1))+설정!$B$7*Q268*(1+설정!$B$9*(Q268-1))+설정!$B$8*R268*(1+설정!$B$9*(R268-1))</f>
        <v>1185</v>
      </c>
      <c r="Y268" s="7">
        <f>설정!$B$10*(O268*(1+설정!$B$9*(O268-1))+P268*(1+설정!$B$9*(P268-1)))</f>
        <v>51</v>
      </c>
      <c r="Z268" s="7">
        <f t="shared" si="4"/>
        <v>28.5</v>
      </c>
      <c r="AA268" s="7">
        <f>X268*설정!$B$11</f>
        <v>118.5</v>
      </c>
      <c r="AB268" s="3"/>
    </row>
    <row r="269" spans="1:28">
      <c r="A269" s="10" t="s">
        <v>1300</v>
      </c>
      <c r="B269" s="11" t="s">
        <v>1301</v>
      </c>
      <c r="C269" s="11" t="s">
        <v>1286</v>
      </c>
      <c r="D269" s="11" t="s">
        <v>597</v>
      </c>
      <c r="E269" s="11" t="s">
        <v>1302</v>
      </c>
      <c r="F269" s="4" t="s">
        <v>33</v>
      </c>
      <c r="G269" s="4" t="s">
        <v>1201</v>
      </c>
      <c r="H269" s="5">
        <v>20.9</v>
      </c>
      <c r="I269" s="3" t="s">
        <v>1303</v>
      </c>
      <c r="J269" s="3" t="s">
        <v>600</v>
      </c>
      <c r="K269" s="3" t="s">
        <v>37</v>
      </c>
      <c r="L269" s="3"/>
      <c r="M269" s="3"/>
      <c r="N269" s="3"/>
      <c r="O269" s="6">
        <v>0</v>
      </c>
      <c r="P269" s="6">
        <v>0</v>
      </c>
      <c r="Q269" s="6">
        <v>1</v>
      </c>
      <c r="R269" s="6">
        <v>1</v>
      </c>
      <c r="S269" s="6">
        <v>0</v>
      </c>
      <c r="T269" s="6">
        <v>0</v>
      </c>
      <c r="U269" s="6">
        <v>0</v>
      </c>
      <c r="V269" s="3"/>
      <c r="W269" s="3"/>
      <c r="X269" s="7">
        <f>설정!$B$4*H269+설정!$B$5*O269*(1+설정!$B$9*(O269-1))+설정!$B$6*P269*(1+설정!$B$9*(P269-1))+설정!$B$7*Q269*(1+설정!$B$9*(Q269-1))+설정!$B$8*R269*(1+설정!$B$9*(R269-1))</f>
        <v>2227</v>
      </c>
      <c r="Y269" s="7">
        <f>설정!$B$10*(O269*(1+설정!$B$9*(O269-1))+P269*(1+설정!$B$9*(P269-1)))</f>
        <v>0</v>
      </c>
      <c r="Z269" s="7">
        <f t="shared" si="4"/>
        <v>-20.9</v>
      </c>
      <c r="AA269" s="7">
        <f>X269*설정!$B$11</f>
        <v>222.70000000000002</v>
      </c>
      <c r="AB269" s="3"/>
    </row>
    <row r="270" spans="1:28">
      <c r="A270" s="10" t="s">
        <v>1304</v>
      </c>
      <c r="B270" s="11" t="s">
        <v>1305</v>
      </c>
      <c r="C270" s="11" t="s">
        <v>1286</v>
      </c>
      <c r="D270" s="11" t="s">
        <v>597</v>
      </c>
      <c r="E270" s="11" t="s">
        <v>1306</v>
      </c>
      <c r="F270" s="4" t="s">
        <v>33</v>
      </c>
      <c r="G270" s="4" t="s">
        <v>1201</v>
      </c>
      <c r="H270" s="5">
        <v>11.6</v>
      </c>
      <c r="I270" s="3" t="s">
        <v>1307</v>
      </c>
      <c r="J270" s="3" t="s">
        <v>600</v>
      </c>
      <c r="K270" s="3" t="s">
        <v>140</v>
      </c>
      <c r="L270" s="4" t="s">
        <v>1289</v>
      </c>
      <c r="M270" s="3"/>
      <c r="N270" s="3"/>
      <c r="O270" s="6">
        <v>0</v>
      </c>
      <c r="P270" s="6">
        <v>0</v>
      </c>
      <c r="Q270" s="6">
        <v>1</v>
      </c>
      <c r="R270" s="6">
        <v>1</v>
      </c>
      <c r="S270" s="6">
        <v>0</v>
      </c>
      <c r="T270" s="6">
        <v>0</v>
      </c>
      <c r="U270" s="6">
        <v>0</v>
      </c>
      <c r="V270" s="3"/>
      <c r="W270" s="3"/>
      <c r="X270" s="7">
        <f>설정!$B$4*H270+설정!$B$5*O270*(1+설정!$B$9*(O270-1))+설정!$B$6*P270*(1+설정!$B$9*(P270-1))+설정!$B$7*Q270*(1+설정!$B$9*(Q270-1))+설정!$B$8*R270*(1+설정!$B$9*(R270-1))</f>
        <v>1948</v>
      </c>
      <c r="Y270" s="7">
        <f>설정!$B$10*(O270*(1+설정!$B$9*(O270-1))+P270*(1+설정!$B$9*(P270-1)))</f>
        <v>0</v>
      </c>
      <c r="Z270" s="7">
        <f t="shared" si="4"/>
        <v>-11.6</v>
      </c>
      <c r="AA270" s="7">
        <f>X270*설정!$B$11</f>
        <v>194.8</v>
      </c>
      <c r="AB270" s="3"/>
    </row>
    <row r="271" spans="1:28">
      <c r="A271" s="10" t="s">
        <v>1308</v>
      </c>
      <c r="B271" s="11" t="s">
        <v>1309</v>
      </c>
      <c r="C271" s="11" t="s">
        <v>1286</v>
      </c>
      <c r="D271" s="11" t="s">
        <v>597</v>
      </c>
      <c r="E271" s="11" t="s">
        <v>1310</v>
      </c>
      <c r="F271" s="4" t="s">
        <v>177</v>
      </c>
      <c r="G271" s="4" t="s">
        <v>1201</v>
      </c>
      <c r="H271" s="5">
        <v>8.8000000000000007</v>
      </c>
      <c r="I271" s="3" t="s">
        <v>1311</v>
      </c>
      <c r="J271" s="3" t="s">
        <v>600</v>
      </c>
      <c r="K271" s="3" t="s">
        <v>140</v>
      </c>
      <c r="L271" s="4" t="s">
        <v>1289</v>
      </c>
      <c r="M271" s="3"/>
      <c r="N271" s="3"/>
      <c r="O271" s="6">
        <v>2</v>
      </c>
      <c r="P271" s="6">
        <v>1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3"/>
      <c r="W271" s="3"/>
      <c r="X271" s="7">
        <f>설정!$B$4*H271+설정!$B$5*O271*(1+설정!$B$9*(O271-1))+설정!$B$6*P271*(1+설정!$B$9*(P271-1))+설정!$B$7*Q271*(1+설정!$B$9*(Q271-1))+설정!$B$8*R271*(1+설정!$B$9*(R271-1))</f>
        <v>774</v>
      </c>
      <c r="Y271" s="7">
        <f>설정!$B$10*(O271*(1+설정!$B$9*(O271-1))+P271*(1+설정!$B$9*(P271-1)))</f>
        <v>51</v>
      </c>
      <c r="Z271" s="7">
        <f t="shared" si="4"/>
        <v>42.2</v>
      </c>
      <c r="AA271" s="7">
        <f>X271*설정!$B$11</f>
        <v>77.400000000000006</v>
      </c>
      <c r="AB271" s="3"/>
    </row>
    <row r="272" spans="1:28">
      <c r="A272" s="10" t="s">
        <v>1312</v>
      </c>
      <c r="B272" s="11" t="s">
        <v>1313</v>
      </c>
      <c r="C272" s="11" t="s">
        <v>1314</v>
      </c>
      <c r="D272" s="11" t="s">
        <v>597</v>
      </c>
      <c r="E272" s="11" t="s">
        <v>1315</v>
      </c>
      <c r="F272" s="4" t="s">
        <v>33</v>
      </c>
      <c r="G272" s="4" t="s">
        <v>1316</v>
      </c>
      <c r="H272" s="5">
        <v>17.7</v>
      </c>
      <c r="I272" s="3" t="s">
        <v>1317</v>
      </c>
      <c r="J272" s="3" t="s">
        <v>1318</v>
      </c>
      <c r="K272" s="3" t="s">
        <v>140</v>
      </c>
      <c r="L272" s="4" t="s">
        <v>601</v>
      </c>
      <c r="M272" s="3"/>
      <c r="N272" s="3"/>
      <c r="O272" s="6">
        <v>0</v>
      </c>
      <c r="P272" s="6">
        <v>2</v>
      </c>
      <c r="Q272" s="6">
        <v>1</v>
      </c>
      <c r="R272" s="6">
        <v>2</v>
      </c>
      <c r="S272" s="6">
        <v>0</v>
      </c>
      <c r="T272" s="6">
        <v>0</v>
      </c>
      <c r="U272" s="6">
        <v>0</v>
      </c>
      <c r="V272" s="3"/>
      <c r="W272" s="4" t="s">
        <v>1319</v>
      </c>
      <c r="X272" s="7">
        <f>설정!$B$4*H272+설정!$B$5*O272*(1+설정!$B$9*(O272-1))+설정!$B$6*P272*(1+설정!$B$9*(P272-1))+설정!$B$7*Q272*(1+설정!$B$9*(Q272-1))+설정!$B$8*R272*(1+설정!$B$9*(R272-1))</f>
        <v>3331</v>
      </c>
      <c r="Y272" s="7">
        <f>설정!$B$10*(O272*(1+설정!$B$9*(O272-1))+P272*(1+설정!$B$9*(P272-1)))</f>
        <v>36</v>
      </c>
      <c r="Z272" s="7">
        <f t="shared" si="4"/>
        <v>18.3</v>
      </c>
      <c r="AA272" s="7">
        <f>X272*설정!$B$11</f>
        <v>333.1</v>
      </c>
      <c r="AB272" s="3"/>
    </row>
    <row r="273" spans="1:28">
      <c r="A273" s="10" t="s">
        <v>1320</v>
      </c>
      <c r="B273" s="11" t="s">
        <v>1321</v>
      </c>
      <c r="C273" s="11" t="s">
        <v>1314</v>
      </c>
      <c r="D273" s="11" t="s">
        <v>597</v>
      </c>
      <c r="E273" s="11" t="s">
        <v>1322</v>
      </c>
      <c r="F273" s="4" t="s">
        <v>33</v>
      </c>
      <c r="G273" s="4" t="s">
        <v>1316</v>
      </c>
      <c r="H273" s="5">
        <v>11.8</v>
      </c>
      <c r="I273" s="3" t="s">
        <v>1323</v>
      </c>
      <c r="J273" s="3" t="s">
        <v>1318</v>
      </c>
      <c r="K273" s="3" t="s">
        <v>140</v>
      </c>
      <c r="L273" s="4" t="s">
        <v>601</v>
      </c>
      <c r="M273" s="3"/>
      <c r="N273" s="3"/>
      <c r="O273" s="6">
        <v>1</v>
      </c>
      <c r="P273" s="6">
        <v>1</v>
      </c>
      <c r="Q273" s="6">
        <v>2</v>
      </c>
      <c r="R273" s="6">
        <v>1</v>
      </c>
      <c r="S273" s="6">
        <v>1</v>
      </c>
      <c r="T273" s="6">
        <v>0</v>
      </c>
      <c r="U273" s="6">
        <v>0</v>
      </c>
      <c r="V273" s="4" t="s">
        <v>1324</v>
      </c>
      <c r="W273" s="4" t="s">
        <v>1325</v>
      </c>
      <c r="X273" s="7">
        <f>설정!$B$4*H273+설정!$B$5*O273*(1+설정!$B$9*(O273-1))+설정!$B$6*P273*(1+설정!$B$9*(P273-1))+설정!$B$7*Q273*(1+설정!$B$9*(Q273-1))+설정!$B$8*R273*(1+설정!$B$9*(R273-1))</f>
        <v>3654</v>
      </c>
      <c r="Y273" s="7">
        <f>설정!$B$10*(O273*(1+설정!$B$9*(O273-1))+P273*(1+설정!$B$9*(P273-1)))</f>
        <v>30</v>
      </c>
      <c r="Z273" s="7">
        <f t="shared" si="4"/>
        <v>18.2</v>
      </c>
      <c r="AA273" s="7">
        <f>X273*설정!$B$11</f>
        <v>365.40000000000003</v>
      </c>
      <c r="AB273" s="4" t="s">
        <v>1326</v>
      </c>
    </row>
    <row r="274" spans="1:28">
      <c r="A274" s="10" t="s">
        <v>1327</v>
      </c>
      <c r="B274" s="11" t="s">
        <v>1328</v>
      </c>
      <c r="C274" s="11" t="s">
        <v>1329</v>
      </c>
      <c r="D274" s="11" t="s">
        <v>597</v>
      </c>
      <c r="E274" s="11" t="s">
        <v>1330</v>
      </c>
      <c r="F274" s="4" t="s">
        <v>362</v>
      </c>
      <c r="G274" s="4" t="s">
        <v>1201</v>
      </c>
      <c r="H274" s="5">
        <v>53.9</v>
      </c>
      <c r="I274" s="3" t="s">
        <v>1331</v>
      </c>
      <c r="J274" s="3" t="s">
        <v>600</v>
      </c>
      <c r="K274" s="3" t="s">
        <v>140</v>
      </c>
      <c r="L274" s="4" t="s">
        <v>1289</v>
      </c>
      <c r="M274" s="3"/>
      <c r="N274" s="3"/>
      <c r="O274" s="6">
        <v>1</v>
      </c>
      <c r="P274" s="6">
        <v>1</v>
      </c>
      <c r="Q274" s="6">
        <v>2</v>
      </c>
      <c r="R274" s="6">
        <v>2</v>
      </c>
      <c r="S274" s="6">
        <v>0</v>
      </c>
      <c r="T274" s="6">
        <v>0</v>
      </c>
      <c r="U274" s="6">
        <v>0</v>
      </c>
      <c r="V274" s="3"/>
      <c r="W274" s="3"/>
      <c r="X274" s="7">
        <f>설정!$B$4*H274+설정!$B$5*O274*(1+설정!$B$9*(O274-1))+설정!$B$6*P274*(1+설정!$B$9*(P274-1))+설정!$B$7*Q274*(1+설정!$B$9*(Q274-1))+설정!$B$8*R274*(1+설정!$B$9*(R274-1))</f>
        <v>5757</v>
      </c>
      <c r="Y274" s="7">
        <f>설정!$B$10*(O274*(1+설정!$B$9*(O274-1))+P274*(1+설정!$B$9*(P274-1)))</f>
        <v>30</v>
      </c>
      <c r="Z274" s="7">
        <f t="shared" si="4"/>
        <v>-23.9</v>
      </c>
      <c r="AA274" s="7">
        <f>X274*설정!$B$11</f>
        <v>575.70000000000005</v>
      </c>
      <c r="AB274" s="3"/>
    </row>
    <row r="275" spans="1:28">
      <c r="A275" s="10" t="s">
        <v>1332</v>
      </c>
      <c r="B275" s="11" t="s">
        <v>1333</v>
      </c>
      <c r="C275" s="11" t="s">
        <v>1329</v>
      </c>
      <c r="D275" s="11" t="s">
        <v>597</v>
      </c>
      <c r="E275" s="11" t="s">
        <v>1334</v>
      </c>
      <c r="F275" s="4" t="s">
        <v>362</v>
      </c>
      <c r="G275" s="4" t="s">
        <v>1201</v>
      </c>
      <c r="H275" s="5">
        <v>29.5</v>
      </c>
      <c r="I275" s="3" t="s">
        <v>1335</v>
      </c>
      <c r="J275" s="3" t="s">
        <v>600</v>
      </c>
      <c r="K275" s="3" t="s">
        <v>37</v>
      </c>
      <c r="L275" s="3"/>
      <c r="M275" s="3"/>
      <c r="N275" s="3"/>
      <c r="O275" s="6">
        <v>1</v>
      </c>
      <c r="P275" s="6">
        <v>0</v>
      </c>
      <c r="Q275" s="6">
        <v>2</v>
      </c>
      <c r="R275" s="6">
        <v>1</v>
      </c>
      <c r="S275" s="6">
        <v>0</v>
      </c>
      <c r="T275" s="6">
        <v>0</v>
      </c>
      <c r="U275" s="6">
        <v>0</v>
      </c>
      <c r="V275" s="3"/>
      <c r="W275" s="3"/>
      <c r="X275" s="7">
        <f>설정!$B$4*H275+설정!$B$5*O275*(1+설정!$B$9*(O275-1))+설정!$B$6*P275*(1+설정!$B$9*(P275-1))+설정!$B$7*Q275*(1+설정!$B$9*(Q275-1))+설정!$B$8*R275*(1+설정!$B$9*(R275-1))</f>
        <v>4035</v>
      </c>
      <c r="Y275" s="7">
        <f>설정!$B$10*(O275*(1+설정!$B$9*(O275-1))+P275*(1+설정!$B$9*(P275-1)))</f>
        <v>15</v>
      </c>
      <c r="Z275" s="7">
        <f t="shared" si="4"/>
        <v>-14.5</v>
      </c>
      <c r="AA275" s="7">
        <f>X275*설정!$B$11</f>
        <v>403.5</v>
      </c>
      <c r="AB275" s="3"/>
    </row>
    <row r="276" spans="1:28">
      <c r="A276" s="10" t="s">
        <v>1336</v>
      </c>
      <c r="B276" s="11" t="s">
        <v>1337</v>
      </c>
      <c r="C276" s="11" t="s">
        <v>1329</v>
      </c>
      <c r="D276" s="11" t="s">
        <v>597</v>
      </c>
      <c r="E276" s="11" t="s">
        <v>1338</v>
      </c>
      <c r="F276" s="4" t="s">
        <v>362</v>
      </c>
      <c r="G276" s="4" t="s">
        <v>1201</v>
      </c>
      <c r="H276" s="5">
        <v>28.5</v>
      </c>
      <c r="I276" s="3" t="s">
        <v>1339</v>
      </c>
      <c r="J276" s="3" t="s">
        <v>600</v>
      </c>
      <c r="K276" s="3" t="s">
        <v>140</v>
      </c>
      <c r="L276" s="4" t="s">
        <v>1289</v>
      </c>
      <c r="M276" s="3"/>
      <c r="N276" s="3"/>
      <c r="O276" s="6">
        <v>2</v>
      </c>
      <c r="P276" s="6">
        <v>1</v>
      </c>
      <c r="Q276" s="6">
        <v>0</v>
      </c>
      <c r="R276" s="6">
        <v>1</v>
      </c>
      <c r="S276" s="6">
        <v>0</v>
      </c>
      <c r="T276" s="6">
        <v>0</v>
      </c>
      <c r="U276" s="6">
        <v>0</v>
      </c>
      <c r="V276" s="3"/>
      <c r="W276" s="3"/>
      <c r="X276" s="7">
        <f>설정!$B$4*H276+설정!$B$5*O276*(1+설정!$B$9*(O276-1))+설정!$B$6*P276*(1+설정!$B$9*(P276-1))+설정!$B$7*Q276*(1+설정!$B$9*(Q276-1))+설정!$B$8*R276*(1+설정!$B$9*(R276-1))</f>
        <v>1965</v>
      </c>
      <c r="Y276" s="7">
        <f>설정!$B$10*(O276*(1+설정!$B$9*(O276-1))+P276*(1+설정!$B$9*(P276-1)))</f>
        <v>51</v>
      </c>
      <c r="Z276" s="7">
        <f t="shared" si="4"/>
        <v>22.5</v>
      </c>
      <c r="AA276" s="7">
        <f>X276*설정!$B$11</f>
        <v>196.5</v>
      </c>
      <c r="AB276" s="3"/>
    </row>
    <row r="277" spans="1:28">
      <c r="A277" s="10" t="s">
        <v>1340</v>
      </c>
      <c r="B277" s="11" t="s">
        <v>1341</v>
      </c>
      <c r="C277" s="11" t="s">
        <v>1329</v>
      </c>
      <c r="D277" s="11" t="s">
        <v>597</v>
      </c>
      <c r="E277" s="11" t="s">
        <v>1342</v>
      </c>
      <c r="F277" s="4" t="s">
        <v>177</v>
      </c>
      <c r="G277" s="4" t="s">
        <v>1201</v>
      </c>
      <c r="H277" s="5">
        <v>24</v>
      </c>
      <c r="I277" s="3" t="s">
        <v>1343</v>
      </c>
      <c r="J277" s="3" t="s">
        <v>600</v>
      </c>
      <c r="K277" s="3" t="s">
        <v>37</v>
      </c>
      <c r="L277" s="3"/>
      <c r="M277" s="3"/>
      <c r="N277" s="3"/>
      <c r="O277" s="6">
        <v>1</v>
      </c>
      <c r="P277" s="6">
        <v>0</v>
      </c>
      <c r="Q277" s="6">
        <v>1</v>
      </c>
      <c r="R277" s="6">
        <v>0</v>
      </c>
      <c r="S277" s="6">
        <v>0</v>
      </c>
      <c r="T277" s="6">
        <v>0</v>
      </c>
      <c r="U277" s="6">
        <v>2</v>
      </c>
      <c r="V277" s="4" t="s">
        <v>1344</v>
      </c>
      <c r="W277" s="4" t="s">
        <v>1345</v>
      </c>
      <c r="X277" s="7">
        <f>설정!$B$4*H277+설정!$B$5*O277*(1+설정!$B$9*(O277-1))+설정!$B$6*P277*(1+설정!$B$9*(P277-1))+설정!$B$7*Q277*(1+설정!$B$9*(Q277-1))+설정!$B$8*R277*(1+설정!$B$9*(R277-1))</f>
        <v>1870</v>
      </c>
      <c r="Y277" s="7">
        <f>설정!$B$10*(O277*(1+설정!$B$9*(O277-1))+P277*(1+설정!$B$9*(P277-1)))</f>
        <v>15</v>
      </c>
      <c r="Z277" s="7">
        <f t="shared" si="4"/>
        <v>-9</v>
      </c>
      <c r="AA277" s="7">
        <f>X277*설정!$B$11</f>
        <v>187</v>
      </c>
      <c r="AB277" s="4" t="s">
        <v>608</v>
      </c>
    </row>
    <row r="278" spans="1:28">
      <c r="A278" s="10" t="s">
        <v>1346</v>
      </c>
      <c r="B278" s="11" t="s">
        <v>1347</v>
      </c>
      <c r="C278" s="11" t="s">
        <v>1329</v>
      </c>
      <c r="D278" s="11" t="s">
        <v>597</v>
      </c>
      <c r="E278" s="11" t="s">
        <v>1348</v>
      </c>
      <c r="F278" s="4" t="s">
        <v>177</v>
      </c>
      <c r="G278" s="4" t="s">
        <v>1201</v>
      </c>
      <c r="H278" s="5">
        <v>20.9</v>
      </c>
      <c r="I278" s="3" t="s">
        <v>1349</v>
      </c>
      <c r="J278" s="3" t="s">
        <v>600</v>
      </c>
      <c r="K278" s="3" t="s">
        <v>37</v>
      </c>
      <c r="L278" s="3"/>
      <c r="M278" s="3"/>
      <c r="N278" s="3"/>
      <c r="O278" s="6">
        <v>1</v>
      </c>
      <c r="P278" s="6">
        <v>0</v>
      </c>
      <c r="Q278" s="6">
        <v>1</v>
      </c>
      <c r="R278" s="6">
        <v>0</v>
      </c>
      <c r="S278" s="6">
        <v>0</v>
      </c>
      <c r="T278" s="6">
        <v>1</v>
      </c>
      <c r="U278" s="6">
        <v>0</v>
      </c>
      <c r="V278" s="3"/>
      <c r="W278" s="3"/>
      <c r="X278" s="7">
        <f>설정!$B$4*H278+설정!$B$5*O278*(1+설정!$B$9*(O278-1))+설정!$B$6*P278*(1+설정!$B$9*(P278-1))+설정!$B$7*Q278*(1+설정!$B$9*(Q278-1))+설정!$B$8*R278*(1+설정!$B$9*(R278-1))</f>
        <v>1777</v>
      </c>
      <c r="Y278" s="7">
        <f>설정!$B$10*(O278*(1+설정!$B$9*(O278-1))+P278*(1+설정!$B$9*(P278-1)))</f>
        <v>15</v>
      </c>
      <c r="Z278" s="7">
        <f t="shared" si="4"/>
        <v>-5.8999999999999986</v>
      </c>
      <c r="AA278" s="7">
        <f>X278*설정!$B$11</f>
        <v>177.70000000000002</v>
      </c>
      <c r="AB278" s="3"/>
    </row>
    <row r="279" spans="1:28">
      <c r="A279" s="10" t="s">
        <v>1350</v>
      </c>
      <c r="B279" s="11" t="s">
        <v>1351</v>
      </c>
      <c r="C279" s="11" t="s">
        <v>1329</v>
      </c>
      <c r="D279" s="11" t="s">
        <v>597</v>
      </c>
      <c r="E279" s="11" t="s">
        <v>1352</v>
      </c>
      <c r="F279" s="4" t="s">
        <v>177</v>
      </c>
      <c r="G279" s="4" t="s">
        <v>1201</v>
      </c>
      <c r="H279" s="5">
        <v>20.3</v>
      </c>
      <c r="I279" s="3" t="s">
        <v>1353</v>
      </c>
      <c r="J279" s="3" t="s">
        <v>600</v>
      </c>
      <c r="K279" s="3" t="s">
        <v>140</v>
      </c>
      <c r="L279" s="4" t="s">
        <v>1289</v>
      </c>
      <c r="M279" s="3"/>
      <c r="N279" s="3"/>
      <c r="O279" s="6">
        <v>2</v>
      </c>
      <c r="P279" s="6">
        <v>1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3"/>
      <c r="W279" s="4" t="s">
        <v>1354</v>
      </c>
      <c r="X279" s="7">
        <f>설정!$B$4*H279+설정!$B$5*O279*(1+설정!$B$9*(O279-1))+설정!$B$6*P279*(1+설정!$B$9*(P279-1))+설정!$B$7*Q279*(1+설정!$B$9*(Q279-1))+설정!$B$8*R279*(1+설정!$B$9*(R279-1))</f>
        <v>1119</v>
      </c>
      <c r="Y279" s="7">
        <f>설정!$B$10*(O279*(1+설정!$B$9*(O279-1))+P279*(1+설정!$B$9*(P279-1)))</f>
        <v>51</v>
      </c>
      <c r="Z279" s="7">
        <f t="shared" si="4"/>
        <v>30.7</v>
      </c>
      <c r="AA279" s="7">
        <f>X279*설정!$B$11</f>
        <v>111.9</v>
      </c>
      <c r="AB279" s="3"/>
    </row>
    <row r="280" spans="1:28">
      <c r="A280" s="10" t="s">
        <v>1355</v>
      </c>
      <c r="B280" s="11" t="s">
        <v>1356</v>
      </c>
      <c r="C280" s="11" t="s">
        <v>1329</v>
      </c>
      <c r="D280" s="11" t="s">
        <v>597</v>
      </c>
      <c r="E280" s="11" t="s">
        <v>1357</v>
      </c>
      <c r="F280" s="4" t="s">
        <v>177</v>
      </c>
      <c r="G280" s="4" t="s">
        <v>1201</v>
      </c>
      <c r="H280" s="5">
        <v>19</v>
      </c>
      <c r="I280" s="3" t="s">
        <v>1358</v>
      </c>
      <c r="J280" s="3" t="s">
        <v>600</v>
      </c>
      <c r="K280" s="3" t="s">
        <v>140</v>
      </c>
      <c r="L280" s="4" t="s">
        <v>1289</v>
      </c>
      <c r="M280" s="3"/>
      <c r="N280" s="3"/>
      <c r="O280" s="6">
        <v>2</v>
      </c>
      <c r="P280" s="6">
        <v>1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3"/>
      <c r="W280" s="4" t="s">
        <v>1359</v>
      </c>
      <c r="X280" s="7">
        <f>설정!$B$4*H280+설정!$B$5*O280*(1+설정!$B$9*(O280-1))+설정!$B$6*P280*(1+설정!$B$9*(P280-1))+설정!$B$7*Q280*(1+설정!$B$9*(Q280-1))+설정!$B$8*R280*(1+설정!$B$9*(R280-1))</f>
        <v>1080</v>
      </c>
      <c r="Y280" s="7">
        <f>설정!$B$10*(O280*(1+설정!$B$9*(O280-1))+P280*(1+설정!$B$9*(P280-1)))</f>
        <v>51</v>
      </c>
      <c r="Z280" s="7">
        <f t="shared" si="4"/>
        <v>32</v>
      </c>
      <c r="AA280" s="7">
        <f>X280*설정!$B$11</f>
        <v>108</v>
      </c>
      <c r="AB280" s="4" t="s">
        <v>608</v>
      </c>
    </row>
    <row r="281" spans="1:28">
      <c r="A281" s="10" t="s">
        <v>1360</v>
      </c>
      <c r="B281" s="11" t="s">
        <v>1361</v>
      </c>
      <c r="C281" s="11" t="s">
        <v>1329</v>
      </c>
      <c r="D281" s="11" t="s">
        <v>597</v>
      </c>
      <c r="E281" s="11" t="s">
        <v>1362</v>
      </c>
      <c r="F281" s="4" t="s">
        <v>177</v>
      </c>
      <c r="G281" s="4" t="s">
        <v>1201</v>
      </c>
      <c r="H281" s="5">
        <v>17.100000000000001</v>
      </c>
      <c r="I281" s="3" t="s">
        <v>1363</v>
      </c>
      <c r="J281" s="3" t="s">
        <v>600</v>
      </c>
      <c r="K281" s="3" t="s">
        <v>37</v>
      </c>
      <c r="L281" s="3"/>
      <c r="M281" s="3"/>
      <c r="N281" s="3"/>
      <c r="O281" s="6">
        <v>1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3"/>
      <c r="W281" s="4" t="s">
        <v>1364</v>
      </c>
      <c r="X281" s="7">
        <f>설정!$B$4*H281+설정!$B$5*O281*(1+설정!$B$9*(O281-1))+설정!$B$6*P281*(1+설정!$B$9*(P281-1))+설정!$B$7*Q281*(1+설정!$B$9*(Q281-1))+설정!$B$8*R281*(1+설정!$B$9*(R281-1))</f>
        <v>663</v>
      </c>
      <c r="Y281" s="7">
        <f>설정!$B$10*(O281*(1+설정!$B$9*(O281-1))+P281*(1+설정!$B$9*(P281-1)))</f>
        <v>15</v>
      </c>
      <c r="Z281" s="7">
        <f t="shared" si="4"/>
        <v>-2.1000000000000014</v>
      </c>
      <c r="AA281" s="7">
        <f>X281*설정!$B$11</f>
        <v>66.3</v>
      </c>
      <c r="AB281" s="4" t="s">
        <v>608</v>
      </c>
    </row>
    <row r="282" spans="1:28">
      <c r="A282" s="10" t="s">
        <v>1365</v>
      </c>
      <c r="B282" s="11" t="s">
        <v>1366</v>
      </c>
      <c r="C282" s="11" t="s">
        <v>1329</v>
      </c>
      <c r="D282" s="11" t="s">
        <v>597</v>
      </c>
      <c r="E282" s="11" t="s">
        <v>1367</v>
      </c>
      <c r="F282" s="4" t="s">
        <v>177</v>
      </c>
      <c r="G282" s="4" t="s">
        <v>1201</v>
      </c>
      <c r="H282" s="5">
        <v>17</v>
      </c>
      <c r="I282" s="3" t="s">
        <v>1368</v>
      </c>
      <c r="J282" s="3" t="s">
        <v>600</v>
      </c>
      <c r="K282" s="3" t="s">
        <v>140</v>
      </c>
      <c r="L282" s="4" t="s">
        <v>1289</v>
      </c>
      <c r="M282" s="3"/>
      <c r="N282" s="3"/>
      <c r="O282" s="6">
        <v>2</v>
      </c>
      <c r="P282" s="6">
        <v>1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3"/>
      <c r="W282" s="3"/>
      <c r="X282" s="7">
        <f>설정!$B$4*H282+설정!$B$5*O282*(1+설정!$B$9*(O282-1))+설정!$B$6*P282*(1+설정!$B$9*(P282-1))+설정!$B$7*Q282*(1+설정!$B$9*(Q282-1))+설정!$B$8*R282*(1+설정!$B$9*(R282-1))</f>
        <v>1020</v>
      </c>
      <c r="Y282" s="7">
        <f>설정!$B$10*(O282*(1+설정!$B$9*(O282-1))+P282*(1+설정!$B$9*(P282-1)))</f>
        <v>51</v>
      </c>
      <c r="Z282" s="7">
        <f t="shared" si="4"/>
        <v>34</v>
      </c>
      <c r="AA282" s="7">
        <f>X282*설정!$B$11</f>
        <v>102</v>
      </c>
      <c r="AB282" s="3"/>
    </row>
    <row r="283" spans="1:28">
      <c r="A283" s="10" t="s">
        <v>1369</v>
      </c>
      <c r="B283" s="11" t="s">
        <v>1370</v>
      </c>
      <c r="C283" s="11" t="s">
        <v>1329</v>
      </c>
      <c r="D283" s="11" t="s">
        <v>597</v>
      </c>
      <c r="E283" s="11" t="s">
        <v>1371</v>
      </c>
      <c r="F283" s="4" t="s">
        <v>177</v>
      </c>
      <c r="G283" s="4" t="s">
        <v>1201</v>
      </c>
      <c r="H283" s="5">
        <v>16.600000000000001</v>
      </c>
      <c r="I283" s="3" t="s">
        <v>1372</v>
      </c>
      <c r="J283" s="3" t="s">
        <v>600</v>
      </c>
      <c r="K283" s="3" t="s">
        <v>37</v>
      </c>
      <c r="L283" s="3"/>
      <c r="M283" s="3"/>
      <c r="N283" s="3"/>
      <c r="O283" s="6">
        <v>1</v>
      </c>
      <c r="P283" s="6">
        <v>0</v>
      </c>
      <c r="Q283" s="6">
        <v>1</v>
      </c>
      <c r="R283" s="6">
        <v>0</v>
      </c>
      <c r="S283" s="6">
        <v>1</v>
      </c>
      <c r="T283" s="6">
        <v>0</v>
      </c>
      <c r="U283" s="6">
        <v>0</v>
      </c>
      <c r="V283" s="3"/>
      <c r="W283" s="3"/>
      <c r="X283" s="7">
        <f>설정!$B$4*H283+설정!$B$5*O283*(1+설정!$B$9*(O283-1))+설정!$B$6*P283*(1+설정!$B$9*(P283-1))+설정!$B$7*Q283*(1+설정!$B$9*(Q283-1))+설정!$B$8*R283*(1+설정!$B$9*(R283-1))</f>
        <v>1648</v>
      </c>
      <c r="Y283" s="7">
        <f>설정!$B$10*(O283*(1+설정!$B$9*(O283-1))+P283*(1+설정!$B$9*(P283-1)))</f>
        <v>15</v>
      </c>
      <c r="Z283" s="7">
        <f t="shared" si="4"/>
        <v>-1.6000000000000014</v>
      </c>
      <c r="AA283" s="7">
        <f>X283*설정!$B$11</f>
        <v>164.8</v>
      </c>
      <c r="AB283" s="4" t="s">
        <v>1373</v>
      </c>
    </row>
    <row r="284" spans="1:28">
      <c r="A284" s="10" t="s">
        <v>1374</v>
      </c>
      <c r="B284" s="11" t="s">
        <v>1375</v>
      </c>
      <c r="C284" s="11" t="s">
        <v>1329</v>
      </c>
      <c r="D284" s="11" t="s">
        <v>597</v>
      </c>
      <c r="E284" s="11" t="s">
        <v>1376</v>
      </c>
      <c r="F284" s="4" t="s">
        <v>177</v>
      </c>
      <c r="G284" s="4" t="s">
        <v>1201</v>
      </c>
      <c r="H284" s="5">
        <v>16.5</v>
      </c>
      <c r="I284" s="3" t="s">
        <v>1377</v>
      </c>
      <c r="J284" s="3" t="s">
        <v>600</v>
      </c>
      <c r="K284" s="3" t="s">
        <v>37</v>
      </c>
      <c r="L284" s="3"/>
      <c r="M284" s="3"/>
      <c r="N284" s="3"/>
      <c r="O284" s="6">
        <v>1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3"/>
      <c r="W284" s="4" t="s">
        <v>1378</v>
      </c>
      <c r="X284" s="7">
        <f>설정!$B$4*H284+설정!$B$5*O284*(1+설정!$B$9*(O284-1))+설정!$B$6*P284*(1+설정!$B$9*(P284-1))+설정!$B$7*Q284*(1+설정!$B$9*(Q284-1))+설정!$B$8*R284*(1+설정!$B$9*(R284-1))</f>
        <v>645</v>
      </c>
      <c r="Y284" s="7">
        <f>설정!$B$10*(O284*(1+설정!$B$9*(O284-1))+P284*(1+설정!$B$9*(P284-1)))</f>
        <v>15</v>
      </c>
      <c r="Z284" s="7">
        <f t="shared" si="4"/>
        <v>-1.5</v>
      </c>
      <c r="AA284" s="7">
        <f>X284*설정!$B$11</f>
        <v>64.5</v>
      </c>
      <c r="AB284" s="3"/>
    </row>
    <row r="285" spans="1:28">
      <c r="A285" s="10" t="s">
        <v>1379</v>
      </c>
      <c r="B285" s="11" t="s">
        <v>1380</v>
      </c>
      <c r="C285" s="11" t="s">
        <v>1329</v>
      </c>
      <c r="D285" s="11" t="s">
        <v>597</v>
      </c>
      <c r="E285" s="11" t="s">
        <v>1381</v>
      </c>
      <c r="F285" s="4" t="s">
        <v>177</v>
      </c>
      <c r="G285" s="4" t="s">
        <v>1201</v>
      </c>
      <c r="H285" s="5">
        <v>16.3</v>
      </c>
      <c r="I285" s="3" t="s">
        <v>1382</v>
      </c>
      <c r="J285" s="3" t="s">
        <v>600</v>
      </c>
      <c r="K285" s="3" t="s">
        <v>37</v>
      </c>
      <c r="L285" s="3"/>
      <c r="M285" s="3"/>
      <c r="N285" s="3"/>
      <c r="O285" s="6">
        <v>1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1</v>
      </c>
      <c r="V285" s="4" t="s">
        <v>1383</v>
      </c>
      <c r="W285" s="4" t="s">
        <v>1384</v>
      </c>
      <c r="X285" s="7">
        <f>설정!$B$4*H285+설정!$B$5*O285*(1+설정!$B$9*(O285-1))+설정!$B$6*P285*(1+설정!$B$9*(P285-1))+설정!$B$7*Q285*(1+설정!$B$9*(Q285-1))+설정!$B$8*R285*(1+설정!$B$9*(R285-1))</f>
        <v>639</v>
      </c>
      <c r="Y285" s="7">
        <f>설정!$B$10*(O285*(1+설정!$B$9*(O285-1))+P285*(1+설정!$B$9*(P285-1)))</f>
        <v>15</v>
      </c>
      <c r="Z285" s="7">
        <f t="shared" si="4"/>
        <v>-1.3000000000000007</v>
      </c>
      <c r="AA285" s="7">
        <f>X285*설정!$B$11</f>
        <v>63.900000000000006</v>
      </c>
      <c r="AB285" s="4" t="s">
        <v>608</v>
      </c>
    </row>
    <row r="286" spans="1:28">
      <c r="A286" s="10" t="s">
        <v>1385</v>
      </c>
      <c r="B286" s="11" t="s">
        <v>1386</v>
      </c>
      <c r="C286" s="11" t="s">
        <v>1329</v>
      </c>
      <c r="D286" s="11" t="s">
        <v>597</v>
      </c>
      <c r="E286" s="11" t="s">
        <v>1387</v>
      </c>
      <c r="F286" s="4" t="s">
        <v>177</v>
      </c>
      <c r="G286" s="4" t="s">
        <v>1201</v>
      </c>
      <c r="H286" s="5">
        <v>15.7</v>
      </c>
      <c r="I286" s="3" t="s">
        <v>1388</v>
      </c>
      <c r="J286" s="3" t="s">
        <v>600</v>
      </c>
      <c r="K286" s="3" t="s">
        <v>37</v>
      </c>
      <c r="L286" s="3"/>
      <c r="M286" s="3"/>
      <c r="N286" s="3"/>
      <c r="O286" s="6">
        <v>1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3"/>
      <c r="W286" s="3"/>
      <c r="X286" s="7">
        <f>설정!$B$4*H286+설정!$B$5*O286*(1+설정!$B$9*(O286-1))+설정!$B$6*P286*(1+설정!$B$9*(P286-1))+설정!$B$7*Q286*(1+설정!$B$9*(Q286-1))+설정!$B$8*R286*(1+설정!$B$9*(R286-1))</f>
        <v>621</v>
      </c>
      <c r="Y286" s="7">
        <f>설정!$B$10*(O286*(1+설정!$B$9*(O286-1))+P286*(1+설정!$B$9*(P286-1)))</f>
        <v>15</v>
      </c>
      <c r="Z286" s="7">
        <f t="shared" si="4"/>
        <v>-0.69999999999999929</v>
      </c>
      <c r="AA286" s="7">
        <f>X286*설정!$B$11</f>
        <v>62.1</v>
      </c>
      <c r="AB286" s="3"/>
    </row>
    <row r="287" spans="1:28">
      <c r="A287" s="10" t="s">
        <v>1389</v>
      </c>
      <c r="B287" s="11" t="s">
        <v>1390</v>
      </c>
      <c r="C287" s="11" t="s">
        <v>1329</v>
      </c>
      <c r="D287" s="11" t="s">
        <v>597</v>
      </c>
      <c r="E287" s="11" t="s">
        <v>1391</v>
      </c>
      <c r="F287" s="4" t="s">
        <v>177</v>
      </c>
      <c r="G287" s="4" t="s">
        <v>1201</v>
      </c>
      <c r="H287" s="5">
        <v>15.4</v>
      </c>
      <c r="I287" s="3" t="s">
        <v>1392</v>
      </c>
      <c r="J287" s="3" t="s">
        <v>600</v>
      </c>
      <c r="K287" s="3" t="s">
        <v>37</v>
      </c>
      <c r="L287" s="3"/>
      <c r="M287" s="3"/>
      <c r="N287" s="3"/>
      <c r="O287" s="6">
        <v>1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3"/>
      <c r="W287" s="3"/>
      <c r="X287" s="7">
        <f>설정!$B$4*H287+설정!$B$5*O287*(1+설정!$B$9*(O287-1))+설정!$B$6*P287*(1+설정!$B$9*(P287-1))+설정!$B$7*Q287*(1+설정!$B$9*(Q287-1))+설정!$B$8*R287*(1+설정!$B$9*(R287-1))</f>
        <v>612</v>
      </c>
      <c r="Y287" s="7">
        <f>설정!$B$10*(O287*(1+설정!$B$9*(O287-1))+P287*(1+설정!$B$9*(P287-1)))</f>
        <v>15</v>
      </c>
      <c r="Z287" s="7">
        <f t="shared" si="4"/>
        <v>-0.40000000000000036</v>
      </c>
      <c r="AA287" s="7">
        <f>X287*설정!$B$11</f>
        <v>61.2</v>
      </c>
      <c r="AB287" s="3"/>
    </row>
    <row r="288" spans="1:28">
      <c r="A288" s="10" t="s">
        <v>1393</v>
      </c>
      <c r="B288" s="11" t="s">
        <v>1394</v>
      </c>
      <c r="C288" s="11" t="s">
        <v>1329</v>
      </c>
      <c r="D288" s="11" t="s">
        <v>597</v>
      </c>
      <c r="E288" s="11" t="s">
        <v>1395</v>
      </c>
      <c r="F288" s="4" t="s">
        <v>177</v>
      </c>
      <c r="G288" s="4" t="s">
        <v>1201</v>
      </c>
      <c r="H288" s="5">
        <v>15.2</v>
      </c>
      <c r="I288" s="3" t="s">
        <v>1396</v>
      </c>
      <c r="J288" s="3" t="s">
        <v>600</v>
      </c>
      <c r="K288" s="3" t="s">
        <v>140</v>
      </c>
      <c r="L288" s="4" t="s">
        <v>1289</v>
      </c>
      <c r="M288" s="3"/>
      <c r="N288" s="3"/>
      <c r="O288" s="6">
        <v>2</v>
      </c>
      <c r="P288" s="6">
        <v>1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3"/>
      <c r="W288" s="3"/>
      <c r="X288" s="7">
        <f>설정!$B$4*H288+설정!$B$5*O288*(1+설정!$B$9*(O288-1))+설정!$B$6*P288*(1+설정!$B$9*(P288-1))+설정!$B$7*Q288*(1+설정!$B$9*(Q288-1))+설정!$B$8*R288*(1+설정!$B$9*(R288-1))</f>
        <v>966</v>
      </c>
      <c r="Y288" s="7">
        <f>설정!$B$10*(O288*(1+설정!$B$9*(O288-1))+P288*(1+설정!$B$9*(P288-1)))</f>
        <v>51</v>
      </c>
      <c r="Z288" s="7">
        <f t="shared" si="4"/>
        <v>35.799999999999997</v>
      </c>
      <c r="AA288" s="7">
        <f>X288*설정!$B$11</f>
        <v>96.600000000000009</v>
      </c>
      <c r="AB288" s="3"/>
    </row>
    <row r="289" spans="1:28">
      <c r="A289" s="10" t="s">
        <v>1397</v>
      </c>
      <c r="B289" s="11" t="s">
        <v>1398</v>
      </c>
      <c r="C289" s="11" t="s">
        <v>1329</v>
      </c>
      <c r="D289" s="11" t="s">
        <v>597</v>
      </c>
      <c r="E289" s="11" t="s">
        <v>1399</v>
      </c>
      <c r="F289" s="4" t="s">
        <v>177</v>
      </c>
      <c r="G289" s="4" t="s">
        <v>1201</v>
      </c>
      <c r="H289" s="5">
        <v>14.7</v>
      </c>
      <c r="I289" s="3" t="s">
        <v>1400</v>
      </c>
      <c r="J289" s="3" t="s">
        <v>600</v>
      </c>
      <c r="K289" s="3" t="s">
        <v>37</v>
      </c>
      <c r="L289" s="3"/>
      <c r="M289" s="3"/>
      <c r="N289" s="3"/>
      <c r="O289" s="6">
        <v>2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3"/>
      <c r="W289" s="3"/>
      <c r="X289" s="7">
        <f>설정!$B$4*H289+설정!$B$5*O289*(1+설정!$B$9*(O289-1))+설정!$B$6*P289*(1+설정!$B$9*(P289-1))+설정!$B$7*Q289*(1+설정!$B$9*(Q289-1))+설정!$B$8*R289*(1+설정!$B$9*(R289-1))</f>
        <v>801</v>
      </c>
      <c r="Y289" s="7">
        <f>설정!$B$10*(O289*(1+설정!$B$9*(O289-1))+P289*(1+설정!$B$9*(P289-1)))</f>
        <v>36</v>
      </c>
      <c r="Z289" s="7">
        <f t="shared" si="4"/>
        <v>21.3</v>
      </c>
      <c r="AA289" s="7">
        <f>X289*설정!$B$11</f>
        <v>80.100000000000009</v>
      </c>
      <c r="AB289" s="3"/>
    </row>
    <row r="290" spans="1:28">
      <c r="A290" s="10" t="s">
        <v>1401</v>
      </c>
      <c r="B290" s="11" t="s">
        <v>1402</v>
      </c>
      <c r="C290" s="11" t="s">
        <v>1329</v>
      </c>
      <c r="D290" s="11" t="s">
        <v>597</v>
      </c>
      <c r="E290" s="11" t="s">
        <v>1403</v>
      </c>
      <c r="F290" s="4" t="s">
        <v>177</v>
      </c>
      <c r="G290" s="4" t="s">
        <v>1201</v>
      </c>
      <c r="H290" s="5">
        <v>14.6</v>
      </c>
      <c r="I290" s="3" t="s">
        <v>1404</v>
      </c>
      <c r="J290" s="3" t="s">
        <v>600</v>
      </c>
      <c r="K290" s="3" t="s">
        <v>140</v>
      </c>
      <c r="L290" s="4" t="s">
        <v>1289</v>
      </c>
      <c r="M290" s="3"/>
      <c r="N290" s="3"/>
      <c r="O290" s="6">
        <v>2</v>
      </c>
      <c r="P290" s="6">
        <v>1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3"/>
      <c r="W290" s="3"/>
      <c r="X290" s="7">
        <f>설정!$B$4*H290+설정!$B$5*O290*(1+설정!$B$9*(O290-1))+설정!$B$6*P290*(1+설정!$B$9*(P290-1))+설정!$B$7*Q290*(1+설정!$B$9*(Q290-1))+설정!$B$8*R290*(1+설정!$B$9*(R290-1))</f>
        <v>948</v>
      </c>
      <c r="Y290" s="7">
        <f>설정!$B$10*(O290*(1+설정!$B$9*(O290-1))+P290*(1+설정!$B$9*(P290-1)))</f>
        <v>51</v>
      </c>
      <c r="Z290" s="7">
        <f t="shared" si="4"/>
        <v>36.4</v>
      </c>
      <c r="AA290" s="7">
        <f>X290*설정!$B$11</f>
        <v>94.800000000000011</v>
      </c>
      <c r="AB290" s="3"/>
    </row>
    <row r="291" spans="1:28">
      <c r="A291" s="10" t="s">
        <v>1405</v>
      </c>
      <c r="B291" s="11" t="s">
        <v>1406</v>
      </c>
      <c r="C291" s="11" t="s">
        <v>1329</v>
      </c>
      <c r="D291" s="11" t="s">
        <v>597</v>
      </c>
      <c r="E291" s="11" t="s">
        <v>1407</v>
      </c>
      <c r="F291" s="4" t="s">
        <v>177</v>
      </c>
      <c r="G291" s="4" t="s">
        <v>1201</v>
      </c>
      <c r="H291" s="5">
        <v>12.8</v>
      </c>
      <c r="I291" s="3" t="s">
        <v>1408</v>
      </c>
      <c r="J291" s="3" t="s">
        <v>600</v>
      </c>
      <c r="K291" s="3" t="s">
        <v>140</v>
      </c>
      <c r="L291" s="4" t="s">
        <v>1289</v>
      </c>
      <c r="M291" s="3"/>
      <c r="N291" s="3"/>
      <c r="O291" s="6">
        <v>2</v>
      </c>
      <c r="P291" s="6">
        <v>1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3"/>
      <c r="W291" s="4" t="s">
        <v>1409</v>
      </c>
      <c r="X291" s="7">
        <f>설정!$B$4*H291+설정!$B$5*O291*(1+설정!$B$9*(O291-1))+설정!$B$6*P291*(1+설정!$B$9*(P291-1))+설정!$B$7*Q291*(1+설정!$B$9*(Q291-1))+설정!$B$8*R291*(1+설정!$B$9*(R291-1))</f>
        <v>894</v>
      </c>
      <c r="Y291" s="7">
        <f>설정!$B$10*(O291*(1+설정!$B$9*(O291-1))+P291*(1+설정!$B$9*(P291-1)))</f>
        <v>51</v>
      </c>
      <c r="Z291" s="7">
        <f t="shared" si="4"/>
        <v>38.200000000000003</v>
      </c>
      <c r="AA291" s="7">
        <f>X291*설정!$B$11</f>
        <v>89.4</v>
      </c>
      <c r="AB291" s="4" t="s">
        <v>608</v>
      </c>
    </row>
    <row r="292" spans="1:28">
      <c r="A292" s="10" t="s">
        <v>1410</v>
      </c>
      <c r="B292" s="11" t="s">
        <v>1411</v>
      </c>
      <c r="C292" s="11" t="s">
        <v>1329</v>
      </c>
      <c r="D292" s="11" t="s">
        <v>597</v>
      </c>
      <c r="E292" s="11" t="s">
        <v>1412</v>
      </c>
      <c r="F292" s="4" t="s">
        <v>177</v>
      </c>
      <c r="G292" s="4" t="s">
        <v>1201</v>
      </c>
      <c r="H292" s="5">
        <v>10.4</v>
      </c>
      <c r="I292" s="3" t="s">
        <v>1413</v>
      </c>
      <c r="J292" s="3" t="s">
        <v>600</v>
      </c>
      <c r="K292" s="3" t="s">
        <v>37</v>
      </c>
      <c r="L292" s="3"/>
      <c r="M292" s="3"/>
      <c r="N292" s="3"/>
      <c r="O292" s="6">
        <v>1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3"/>
      <c r="W292" s="3"/>
      <c r="X292" s="7">
        <f>설정!$B$4*H292+설정!$B$5*O292*(1+설정!$B$9*(O292-1))+설정!$B$6*P292*(1+설정!$B$9*(P292-1))+설정!$B$7*Q292*(1+설정!$B$9*(Q292-1))+설정!$B$8*R292*(1+설정!$B$9*(R292-1))</f>
        <v>462</v>
      </c>
      <c r="Y292" s="7">
        <f>설정!$B$10*(O292*(1+설정!$B$9*(O292-1))+P292*(1+설정!$B$9*(P292-1)))</f>
        <v>15</v>
      </c>
      <c r="Z292" s="7">
        <f t="shared" si="4"/>
        <v>4.5999999999999996</v>
      </c>
      <c r="AA292" s="7">
        <f>X292*설정!$B$11</f>
        <v>46.2</v>
      </c>
      <c r="AB292" s="3"/>
    </row>
    <row r="293" spans="1:28">
      <c r="A293" s="10" t="s">
        <v>1414</v>
      </c>
      <c r="B293" s="11" t="s">
        <v>1415</v>
      </c>
      <c r="C293" s="11" t="s">
        <v>1329</v>
      </c>
      <c r="D293" s="11" t="s">
        <v>597</v>
      </c>
      <c r="E293" s="11" t="s">
        <v>1416</v>
      </c>
      <c r="F293" s="4" t="s">
        <v>177</v>
      </c>
      <c r="G293" s="4" t="s">
        <v>1201</v>
      </c>
      <c r="H293" s="5">
        <v>7.9</v>
      </c>
      <c r="I293" s="3" t="s">
        <v>1417</v>
      </c>
      <c r="J293" s="3" t="s">
        <v>600</v>
      </c>
      <c r="K293" s="3" t="s">
        <v>37</v>
      </c>
      <c r="L293" s="3"/>
      <c r="M293" s="3"/>
      <c r="N293" s="3"/>
      <c r="O293" s="6">
        <v>1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3"/>
      <c r="W293" s="3"/>
      <c r="X293" s="7">
        <f>설정!$B$4*H293+설정!$B$5*O293*(1+설정!$B$9*(O293-1))+설정!$B$6*P293*(1+설정!$B$9*(P293-1))+설정!$B$7*Q293*(1+설정!$B$9*(Q293-1))+설정!$B$8*R293*(1+설정!$B$9*(R293-1))</f>
        <v>387</v>
      </c>
      <c r="Y293" s="7">
        <f>설정!$B$10*(O293*(1+설정!$B$9*(O293-1))+P293*(1+설정!$B$9*(P293-1)))</f>
        <v>15</v>
      </c>
      <c r="Z293" s="7">
        <f t="shared" si="4"/>
        <v>7.1</v>
      </c>
      <c r="AA293" s="7">
        <f>X293*설정!$B$11</f>
        <v>38.700000000000003</v>
      </c>
      <c r="AB293" s="3"/>
    </row>
    <row r="294" spans="1:28">
      <c r="A294" s="10" t="s">
        <v>1418</v>
      </c>
      <c r="B294" s="11" t="s">
        <v>1419</v>
      </c>
      <c r="C294" s="11" t="s">
        <v>1329</v>
      </c>
      <c r="D294" s="11" t="s">
        <v>597</v>
      </c>
      <c r="E294" s="11" t="s">
        <v>1420</v>
      </c>
      <c r="F294" s="4" t="s">
        <v>177</v>
      </c>
      <c r="G294" s="4" t="s">
        <v>1201</v>
      </c>
      <c r="H294" s="5">
        <v>7.6</v>
      </c>
      <c r="I294" s="3" t="s">
        <v>1421</v>
      </c>
      <c r="J294" s="3" t="s">
        <v>600</v>
      </c>
      <c r="K294" s="3" t="s">
        <v>37</v>
      </c>
      <c r="L294" s="3"/>
      <c r="M294" s="3"/>
      <c r="N294" s="3"/>
      <c r="O294" s="6">
        <v>1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3"/>
      <c r="W294" s="3"/>
      <c r="X294" s="7">
        <f>설정!$B$4*H294+설정!$B$5*O294*(1+설정!$B$9*(O294-1))+설정!$B$6*P294*(1+설정!$B$9*(P294-1))+설정!$B$7*Q294*(1+설정!$B$9*(Q294-1))+설정!$B$8*R294*(1+설정!$B$9*(R294-1))</f>
        <v>378</v>
      </c>
      <c r="Y294" s="7">
        <f>설정!$B$10*(O294*(1+설정!$B$9*(O294-1))+P294*(1+설정!$B$9*(P294-1)))</f>
        <v>15</v>
      </c>
      <c r="Z294" s="7">
        <f t="shared" si="4"/>
        <v>7.4</v>
      </c>
      <c r="AA294" s="7">
        <f>X294*설정!$B$11</f>
        <v>37.800000000000004</v>
      </c>
      <c r="AB294" s="3"/>
    </row>
    <row r="295" spans="1:28">
      <c r="A295" s="10" t="s">
        <v>1422</v>
      </c>
      <c r="B295" s="11" t="s">
        <v>1423</v>
      </c>
      <c r="C295" s="11" t="s">
        <v>1329</v>
      </c>
      <c r="D295" s="11" t="s">
        <v>597</v>
      </c>
      <c r="E295" s="11" t="s">
        <v>1424</v>
      </c>
      <c r="F295" s="4" t="s">
        <v>177</v>
      </c>
      <c r="G295" s="4" t="s">
        <v>1201</v>
      </c>
      <c r="H295" s="5">
        <v>5.3</v>
      </c>
      <c r="I295" s="3" t="s">
        <v>1425</v>
      </c>
      <c r="J295" s="3" t="s">
        <v>600</v>
      </c>
      <c r="K295" s="3" t="s">
        <v>37</v>
      </c>
      <c r="L295" s="3"/>
      <c r="M295" s="3"/>
      <c r="N295" s="3"/>
      <c r="O295" s="6">
        <v>1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3"/>
      <c r="W295" s="3"/>
      <c r="X295" s="7">
        <f>설정!$B$4*H295+설정!$B$5*O295*(1+설정!$B$9*(O295-1))+설정!$B$6*P295*(1+설정!$B$9*(P295-1))+설정!$B$7*Q295*(1+설정!$B$9*(Q295-1))+설정!$B$8*R295*(1+설정!$B$9*(R295-1))</f>
        <v>309</v>
      </c>
      <c r="Y295" s="7">
        <f>설정!$B$10*(O295*(1+설정!$B$9*(O295-1))+P295*(1+설정!$B$9*(P295-1)))</f>
        <v>15</v>
      </c>
      <c r="Z295" s="7">
        <f t="shared" si="4"/>
        <v>9.6999999999999993</v>
      </c>
      <c r="AA295" s="7">
        <f>X295*설정!$B$11</f>
        <v>30.900000000000002</v>
      </c>
      <c r="AB295" s="3"/>
    </row>
    <row r="296" spans="1:28">
      <c r="A296" s="10" t="s">
        <v>1426</v>
      </c>
      <c r="B296" s="11" t="s">
        <v>1427</v>
      </c>
      <c r="C296" s="11" t="s">
        <v>1329</v>
      </c>
      <c r="D296" s="11" t="s">
        <v>597</v>
      </c>
      <c r="E296" s="11" t="s">
        <v>1428</v>
      </c>
      <c r="F296" s="4" t="s">
        <v>177</v>
      </c>
      <c r="G296" s="4" t="s">
        <v>1201</v>
      </c>
      <c r="H296" s="5">
        <v>4.3</v>
      </c>
      <c r="I296" s="3" t="s">
        <v>1429</v>
      </c>
      <c r="J296" s="3" t="s">
        <v>600</v>
      </c>
      <c r="K296" s="3" t="s">
        <v>37</v>
      </c>
      <c r="L296" s="3"/>
      <c r="M296" s="3"/>
      <c r="N296" s="3"/>
      <c r="O296" s="6">
        <v>1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3"/>
      <c r="W296" s="3"/>
      <c r="X296" s="7">
        <f>설정!$B$4*H296+설정!$B$5*O296*(1+설정!$B$9*(O296-1))+설정!$B$6*P296*(1+설정!$B$9*(P296-1))+설정!$B$7*Q296*(1+설정!$B$9*(Q296-1))+설정!$B$8*R296*(1+설정!$B$9*(R296-1))</f>
        <v>279</v>
      </c>
      <c r="Y296" s="7">
        <f>설정!$B$10*(O296*(1+설정!$B$9*(O296-1))+P296*(1+설정!$B$9*(P296-1)))</f>
        <v>15</v>
      </c>
      <c r="Z296" s="7">
        <f t="shared" si="4"/>
        <v>10.7</v>
      </c>
      <c r="AA296" s="7">
        <f>X296*설정!$B$11</f>
        <v>27.900000000000002</v>
      </c>
      <c r="AB296" s="3"/>
    </row>
    <row r="297" spans="1:28">
      <c r="A297" s="10" t="s">
        <v>1430</v>
      </c>
      <c r="B297" s="11" t="s">
        <v>1431</v>
      </c>
      <c r="C297" s="11" t="s">
        <v>1329</v>
      </c>
      <c r="D297" s="11" t="s">
        <v>597</v>
      </c>
      <c r="E297" s="11" t="s">
        <v>1432</v>
      </c>
      <c r="F297" s="4" t="s">
        <v>177</v>
      </c>
      <c r="G297" s="4" t="s">
        <v>1201</v>
      </c>
      <c r="H297" s="5">
        <v>4</v>
      </c>
      <c r="I297" s="3" t="s">
        <v>1433</v>
      </c>
      <c r="J297" s="3" t="s">
        <v>600</v>
      </c>
      <c r="K297" s="3" t="s">
        <v>37</v>
      </c>
      <c r="L297" s="3"/>
      <c r="M297" s="3"/>
      <c r="N297" s="3"/>
      <c r="O297" s="6">
        <v>1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3"/>
      <c r="W297" s="3"/>
      <c r="X297" s="7">
        <f>설정!$B$4*H297+설정!$B$5*O297*(1+설정!$B$9*(O297-1))+설정!$B$6*P297*(1+설정!$B$9*(P297-1))+설정!$B$7*Q297*(1+설정!$B$9*(Q297-1))+설정!$B$8*R297*(1+설정!$B$9*(R297-1))</f>
        <v>270</v>
      </c>
      <c r="Y297" s="7">
        <f>설정!$B$10*(O297*(1+설정!$B$9*(O297-1))+P297*(1+설정!$B$9*(P297-1)))</f>
        <v>15</v>
      </c>
      <c r="Z297" s="7">
        <f t="shared" si="4"/>
        <v>11</v>
      </c>
      <c r="AA297" s="7">
        <f>X297*설정!$B$11</f>
        <v>27</v>
      </c>
      <c r="AB297" s="3"/>
    </row>
    <row r="298" spans="1:28">
      <c r="A298" s="10" t="s">
        <v>1434</v>
      </c>
      <c r="B298" s="11" t="s">
        <v>1435</v>
      </c>
      <c r="C298" s="11" t="s">
        <v>1329</v>
      </c>
      <c r="D298" s="11" t="s">
        <v>597</v>
      </c>
      <c r="E298" s="11" t="s">
        <v>1436</v>
      </c>
      <c r="F298" s="4" t="s">
        <v>177</v>
      </c>
      <c r="G298" s="4" t="s">
        <v>1201</v>
      </c>
      <c r="H298" s="5">
        <v>1.8</v>
      </c>
      <c r="I298" s="3" t="s">
        <v>1437</v>
      </c>
      <c r="J298" s="3" t="s">
        <v>600</v>
      </c>
      <c r="K298" s="3" t="s">
        <v>140</v>
      </c>
      <c r="L298" s="4" t="s">
        <v>1289</v>
      </c>
      <c r="M298" s="4" t="s">
        <v>199</v>
      </c>
      <c r="N298" s="3"/>
      <c r="O298" s="6">
        <v>1</v>
      </c>
      <c r="P298" s="6">
        <v>2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3"/>
      <c r="W298" s="4" t="s">
        <v>1438</v>
      </c>
      <c r="X298" s="7">
        <f>설정!$B$4*H298+설정!$B$5*O298*(1+설정!$B$9*(O298-1))+설정!$B$6*P298*(1+설정!$B$9*(P298-1))+설정!$B$7*Q298*(1+설정!$B$9*(Q298-1))+설정!$B$8*R298*(1+설정!$B$9*(R298-1))</f>
        <v>564</v>
      </c>
      <c r="Y298" s="7">
        <f>설정!$B$10*(O298*(1+설정!$B$9*(O298-1))+P298*(1+설정!$B$9*(P298-1)))</f>
        <v>51</v>
      </c>
      <c r="Z298" s="7">
        <f t="shared" si="4"/>
        <v>49.2</v>
      </c>
      <c r="AA298" s="7">
        <f>X298*설정!$B$11</f>
        <v>56.400000000000006</v>
      </c>
      <c r="AB298" s="4" t="s">
        <v>608</v>
      </c>
    </row>
    <row r="299" spans="1:28">
      <c r="A299" s="10" t="s">
        <v>1439</v>
      </c>
      <c r="B299" s="11" t="s">
        <v>1440</v>
      </c>
      <c r="C299" s="11" t="s">
        <v>1441</v>
      </c>
      <c r="D299" s="11" t="s">
        <v>597</v>
      </c>
      <c r="E299" s="11" t="s">
        <v>1442</v>
      </c>
      <c r="F299" s="4" t="s">
        <v>362</v>
      </c>
      <c r="G299" s="4" t="s">
        <v>1201</v>
      </c>
      <c r="H299" s="5">
        <v>47.9</v>
      </c>
      <c r="I299" s="3" t="s">
        <v>1443</v>
      </c>
      <c r="J299" s="3" t="s">
        <v>600</v>
      </c>
      <c r="K299" s="3" t="s">
        <v>37</v>
      </c>
      <c r="L299" s="3"/>
      <c r="M299" s="3"/>
      <c r="N299" s="3"/>
      <c r="O299" s="6">
        <v>0</v>
      </c>
      <c r="P299" s="6">
        <v>0</v>
      </c>
      <c r="Q299" s="6">
        <v>1</v>
      </c>
      <c r="R299" s="6">
        <v>1</v>
      </c>
      <c r="S299" s="6">
        <v>0</v>
      </c>
      <c r="T299" s="6">
        <v>2</v>
      </c>
      <c r="U299" s="6">
        <v>0</v>
      </c>
      <c r="V299" s="3"/>
      <c r="W299" s="3"/>
      <c r="X299" s="7">
        <f>설정!$B$4*H299+설정!$B$5*O299*(1+설정!$B$9*(O299-1))+설정!$B$6*P299*(1+설정!$B$9*(P299-1))+설정!$B$7*Q299*(1+설정!$B$9*(Q299-1))+설정!$B$8*R299*(1+설정!$B$9*(R299-1))</f>
        <v>3037</v>
      </c>
      <c r="Y299" s="7">
        <f>설정!$B$10*(O299*(1+설정!$B$9*(O299-1))+P299*(1+설정!$B$9*(P299-1)))</f>
        <v>0</v>
      </c>
      <c r="Z299" s="7">
        <f t="shared" si="4"/>
        <v>-47.9</v>
      </c>
      <c r="AA299" s="7">
        <f>X299*설정!$B$11</f>
        <v>303.7</v>
      </c>
      <c r="AB299" s="3"/>
    </row>
    <row r="300" spans="1:28">
      <c r="A300" s="10" t="s">
        <v>1444</v>
      </c>
      <c r="B300" s="11" t="s">
        <v>1445</v>
      </c>
      <c r="C300" s="11" t="s">
        <v>1441</v>
      </c>
      <c r="D300" s="11" t="s">
        <v>597</v>
      </c>
      <c r="E300" s="11" t="s">
        <v>1446</v>
      </c>
      <c r="F300" s="4" t="s">
        <v>362</v>
      </c>
      <c r="G300" s="4" t="s">
        <v>1201</v>
      </c>
      <c r="H300" s="5">
        <v>44.6</v>
      </c>
      <c r="I300" s="3" t="s">
        <v>1447</v>
      </c>
      <c r="J300" s="3" t="s">
        <v>600</v>
      </c>
      <c r="K300" s="3" t="s">
        <v>37</v>
      </c>
      <c r="L300" s="3"/>
      <c r="M300" s="3"/>
      <c r="N300" s="3"/>
      <c r="O300" s="6">
        <v>1</v>
      </c>
      <c r="P300" s="6">
        <v>0</v>
      </c>
      <c r="Q300" s="6">
        <v>2</v>
      </c>
      <c r="R300" s="6">
        <v>1</v>
      </c>
      <c r="S300" s="6">
        <v>0</v>
      </c>
      <c r="T300" s="6">
        <v>3</v>
      </c>
      <c r="U300" s="6">
        <v>0</v>
      </c>
      <c r="V300" s="3"/>
      <c r="W300" s="3"/>
      <c r="X300" s="7">
        <f>설정!$B$4*H300+설정!$B$5*O300*(1+설정!$B$9*(O300-1))+설정!$B$6*P300*(1+설정!$B$9*(P300-1))+설정!$B$7*Q300*(1+설정!$B$9*(Q300-1))+설정!$B$8*R300*(1+설정!$B$9*(R300-1))</f>
        <v>4488</v>
      </c>
      <c r="Y300" s="7">
        <f>설정!$B$10*(O300*(1+설정!$B$9*(O300-1))+P300*(1+설정!$B$9*(P300-1)))</f>
        <v>15</v>
      </c>
      <c r="Z300" s="7">
        <f t="shared" si="4"/>
        <v>-29.6</v>
      </c>
      <c r="AA300" s="7">
        <f>X300*설정!$B$11</f>
        <v>448.8</v>
      </c>
      <c r="AB300" s="3"/>
    </row>
    <row r="301" spans="1:28">
      <c r="A301" s="10" t="s">
        <v>1448</v>
      </c>
      <c r="B301" s="11" t="s">
        <v>1449</v>
      </c>
      <c r="C301" s="11" t="s">
        <v>1441</v>
      </c>
      <c r="D301" s="11" t="s">
        <v>597</v>
      </c>
      <c r="E301" s="11" t="s">
        <v>1450</v>
      </c>
      <c r="F301" s="4" t="s">
        <v>362</v>
      </c>
      <c r="G301" s="4" t="s">
        <v>1201</v>
      </c>
      <c r="H301" s="5">
        <v>42.7</v>
      </c>
      <c r="I301" s="3" t="s">
        <v>1451</v>
      </c>
      <c r="J301" s="3" t="s">
        <v>600</v>
      </c>
      <c r="K301" s="3" t="s">
        <v>37</v>
      </c>
      <c r="L301" s="3"/>
      <c r="M301" s="3"/>
      <c r="N301" s="3"/>
      <c r="O301" s="6">
        <v>1</v>
      </c>
      <c r="P301" s="6">
        <v>0</v>
      </c>
      <c r="Q301" s="6">
        <v>1</v>
      </c>
      <c r="R301" s="6">
        <v>2</v>
      </c>
      <c r="S301" s="6">
        <v>0</v>
      </c>
      <c r="T301" s="6">
        <v>0</v>
      </c>
      <c r="U301" s="6">
        <v>0</v>
      </c>
      <c r="V301" s="3"/>
      <c r="W301" s="3"/>
      <c r="X301" s="7">
        <f>설정!$B$4*H301+설정!$B$5*O301*(1+설정!$B$9*(O301-1))+설정!$B$6*P301*(1+설정!$B$9*(P301-1))+설정!$B$7*Q301*(1+설정!$B$9*(Q301-1))+설정!$B$8*R301*(1+설정!$B$9*(R301-1))</f>
        <v>3871</v>
      </c>
      <c r="Y301" s="7">
        <f>설정!$B$10*(O301*(1+설정!$B$9*(O301-1))+P301*(1+설정!$B$9*(P301-1)))</f>
        <v>15</v>
      </c>
      <c r="Z301" s="7">
        <f t="shared" si="4"/>
        <v>-27.700000000000003</v>
      </c>
      <c r="AA301" s="7">
        <f>X301*설정!$B$11</f>
        <v>387.1</v>
      </c>
      <c r="AB301" s="3"/>
    </row>
    <row r="302" spans="1:28">
      <c r="A302" s="10" t="s">
        <v>1452</v>
      </c>
      <c r="B302" s="11" t="s">
        <v>1453</v>
      </c>
      <c r="C302" s="11" t="s">
        <v>1441</v>
      </c>
      <c r="D302" s="11" t="s">
        <v>597</v>
      </c>
      <c r="E302" s="11" t="s">
        <v>1454</v>
      </c>
      <c r="F302" s="4" t="s">
        <v>362</v>
      </c>
      <c r="G302" s="4" t="s">
        <v>1201</v>
      </c>
      <c r="H302" s="5">
        <v>36</v>
      </c>
      <c r="I302" s="3" t="s">
        <v>1455</v>
      </c>
      <c r="J302" s="3" t="s">
        <v>600</v>
      </c>
      <c r="K302" s="3" t="s">
        <v>140</v>
      </c>
      <c r="L302" s="4" t="s">
        <v>1289</v>
      </c>
      <c r="M302" s="3"/>
      <c r="N302" s="3"/>
      <c r="O302" s="6">
        <v>1</v>
      </c>
      <c r="P302" s="6">
        <v>1</v>
      </c>
      <c r="Q302" s="6">
        <v>2</v>
      </c>
      <c r="R302" s="6">
        <v>1</v>
      </c>
      <c r="S302" s="6">
        <v>0</v>
      </c>
      <c r="T302" s="6">
        <v>3</v>
      </c>
      <c r="U302" s="6">
        <v>0</v>
      </c>
      <c r="V302" s="4" t="s">
        <v>1456</v>
      </c>
      <c r="W302" s="3"/>
      <c r="X302" s="7">
        <f>설정!$B$4*H302+설정!$B$5*O302*(1+설정!$B$9*(O302-1))+설정!$B$6*P302*(1+설정!$B$9*(P302-1))+설정!$B$7*Q302*(1+설정!$B$9*(Q302-1))+설정!$B$8*R302*(1+설정!$B$9*(R302-1))</f>
        <v>4380</v>
      </c>
      <c r="Y302" s="7">
        <f>설정!$B$10*(O302*(1+설정!$B$9*(O302-1))+P302*(1+설정!$B$9*(P302-1)))</f>
        <v>30</v>
      </c>
      <c r="Z302" s="7">
        <f t="shared" si="4"/>
        <v>-6</v>
      </c>
      <c r="AA302" s="7">
        <f>X302*설정!$B$11</f>
        <v>438</v>
      </c>
      <c r="AB302" s="3"/>
    </row>
    <row r="303" spans="1:28">
      <c r="A303" s="10" t="s">
        <v>1457</v>
      </c>
      <c r="B303" s="11" t="s">
        <v>1458</v>
      </c>
      <c r="C303" s="11" t="s">
        <v>1441</v>
      </c>
      <c r="D303" s="11" t="s">
        <v>597</v>
      </c>
      <c r="E303" s="11" t="s">
        <v>1459</v>
      </c>
      <c r="F303" s="4" t="s">
        <v>362</v>
      </c>
      <c r="G303" s="4" t="s">
        <v>1201</v>
      </c>
      <c r="H303" s="5">
        <v>35.6</v>
      </c>
      <c r="I303" s="3" t="s">
        <v>1460</v>
      </c>
      <c r="J303" s="3" t="s">
        <v>600</v>
      </c>
      <c r="K303" s="3" t="s">
        <v>37</v>
      </c>
      <c r="L303" s="3"/>
      <c r="M303" s="3"/>
      <c r="N303" s="3"/>
      <c r="O303" s="6">
        <v>0</v>
      </c>
      <c r="P303" s="6">
        <v>0</v>
      </c>
      <c r="Q303" s="6">
        <v>2</v>
      </c>
      <c r="R303" s="6">
        <v>1</v>
      </c>
      <c r="S303" s="6">
        <v>0</v>
      </c>
      <c r="T303" s="6">
        <v>2</v>
      </c>
      <c r="U303" s="6">
        <v>0</v>
      </c>
      <c r="V303" s="3"/>
      <c r="W303" s="3"/>
      <c r="X303" s="7">
        <f>설정!$B$4*H303+설정!$B$5*O303*(1+설정!$B$9*(O303-1))+설정!$B$6*P303*(1+설정!$B$9*(P303-1))+설정!$B$7*Q303*(1+설정!$B$9*(Q303-1))+설정!$B$8*R303*(1+설정!$B$9*(R303-1))</f>
        <v>4068</v>
      </c>
      <c r="Y303" s="7">
        <f>설정!$B$10*(O303*(1+설정!$B$9*(O303-1))+P303*(1+설정!$B$9*(P303-1)))</f>
        <v>0</v>
      </c>
      <c r="Z303" s="7">
        <f t="shared" si="4"/>
        <v>-35.6</v>
      </c>
      <c r="AA303" s="7">
        <f>X303*설정!$B$11</f>
        <v>406.8</v>
      </c>
      <c r="AB303" s="3"/>
    </row>
    <row r="304" spans="1:28">
      <c r="A304" s="10" t="s">
        <v>1461</v>
      </c>
      <c r="B304" s="11" t="s">
        <v>1462</v>
      </c>
      <c r="C304" s="11" t="s">
        <v>1441</v>
      </c>
      <c r="D304" s="11" t="s">
        <v>597</v>
      </c>
      <c r="E304" s="11" t="s">
        <v>1463</v>
      </c>
      <c r="F304" s="4" t="s">
        <v>177</v>
      </c>
      <c r="G304" s="4" t="s">
        <v>1201</v>
      </c>
      <c r="H304" s="5">
        <v>31</v>
      </c>
      <c r="I304" s="3" t="s">
        <v>1464</v>
      </c>
      <c r="J304" s="3" t="s">
        <v>600</v>
      </c>
      <c r="K304" s="3" t="s">
        <v>37</v>
      </c>
      <c r="L304" s="3"/>
      <c r="M304" s="3"/>
      <c r="N304" s="3"/>
      <c r="O304" s="6">
        <v>1</v>
      </c>
      <c r="P304" s="6">
        <v>0</v>
      </c>
      <c r="Q304" s="6">
        <v>1</v>
      </c>
      <c r="R304" s="6">
        <v>0</v>
      </c>
      <c r="S304" s="6">
        <v>0</v>
      </c>
      <c r="T304" s="6">
        <v>1</v>
      </c>
      <c r="U304" s="6">
        <v>0</v>
      </c>
      <c r="V304" s="3"/>
      <c r="W304" s="3"/>
      <c r="X304" s="7">
        <f>설정!$B$4*H304+설정!$B$5*O304*(1+설정!$B$9*(O304-1))+설정!$B$6*P304*(1+설정!$B$9*(P304-1))+설정!$B$7*Q304*(1+설정!$B$9*(Q304-1))+설정!$B$8*R304*(1+설정!$B$9*(R304-1))</f>
        <v>2080</v>
      </c>
      <c r="Y304" s="7">
        <f>설정!$B$10*(O304*(1+설정!$B$9*(O304-1))+P304*(1+설정!$B$9*(P304-1)))</f>
        <v>15</v>
      </c>
      <c r="Z304" s="7">
        <f t="shared" si="4"/>
        <v>-16</v>
      </c>
      <c r="AA304" s="7">
        <f>X304*설정!$B$11</f>
        <v>208</v>
      </c>
      <c r="AB304" s="3"/>
    </row>
    <row r="305" spans="1:28">
      <c r="A305" s="10" t="s">
        <v>1465</v>
      </c>
      <c r="B305" s="11" t="s">
        <v>1466</v>
      </c>
      <c r="C305" s="11" t="s">
        <v>1441</v>
      </c>
      <c r="D305" s="11" t="s">
        <v>597</v>
      </c>
      <c r="E305" s="11" t="s">
        <v>1467</v>
      </c>
      <c r="F305" s="4" t="s">
        <v>177</v>
      </c>
      <c r="G305" s="4" t="s">
        <v>1201</v>
      </c>
      <c r="H305" s="5">
        <v>26.9</v>
      </c>
      <c r="I305" s="3" t="s">
        <v>1468</v>
      </c>
      <c r="J305" s="3" t="s">
        <v>600</v>
      </c>
      <c r="K305" s="3" t="s">
        <v>140</v>
      </c>
      <c r="L305" s="4" t="s">
        <v>1289</v>
      </c>
      <c r="M305" s="3"/>
      <c r="N305" s="3"/>
      <c r="O305" s="6">
        <v>2</v>
      </c>
      <c r="P305" s="6">
        <v>1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3"/>
      <c r="W305" s="4" t="s">
        <v>1469</v>
      </c>
      <c r="X305" s="7">
        <f>설정!$B$4*H305+설정!$B$5*O305*(1+설정!$B$9*(O305-1))+설정!$B$6*P305*(1+설정!$B$9*(P305-1))+설정!$B$7*Q305*(1+설정!$B$9*(Q305-1))+설정!$B$8*R305*(1+설정!$B$9*(R305-1))</f>
        <v>1317</v>
      </c>
      <c r="Y305" s="7">
        <f>설정!$B$10*(O305*(1+설정!$B$9*(O305-1))+P305*(1+설정!$B$9*(P305-1)))</f>
        <v>51</v>
      </c>
      <c r="Z305" s="7">
        <f t="shared" si="4"/>
        <v>24.1</v>
      </c>
      <c r="AA305" s="7">
        <f>X305*설정!$B$11</f>
        <v>131.70000000000002</v>
      </c>
      <c r="AB305" s="4" t="s">
        <v>608</v>
      </c>
    </row>
    <row r="306" spans="1:28">
      <c r="A306" s="10" t="s">
        <v>1470</v>
      </c>
      <c r="B306" s="11" t="s">
        <v>1471</v>
      </c>
      <c r="C306" s="11" t="s">
        <v>1441</v>
      </c>
      <c r="D306" s="11" t="s">
        <v>597</v>
      </c>
      <c r="E306" s="11" t="s">
        <v>1472</v>
      </c>
      <c r="F306" s="4" t="s">
        <v>177</v>
      </c>
      <c r="G306" s="4" t="s">
        <v>1201</v>
      </c>
      <c r="H306" s="5">
        <v>26.8</v>
      </c>
      <c r="I306" s="3" t="s">
        <v>1473</v>
      </c>
      <c r="J306" s="3" t="s">
        <v>600</v>
      </c>
      <c r="K306" s="3" t="s">
        <v>140</v>
      </c>
      <c r="L306" s="4" t="s">
        <v>1289</v>
      </c>
      <c r="M306" s="3"/>
      <c r="N306" s="3"/>
      <c r="O306" s="6">
        <v>2</v>
      </c>
      <c r="P306" s="6">
        <v>1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3"/>
      <c r="W306" s="4" t="s">
        <v>1474</v>
      </c>
      <c r="X306" s="7">
        <f>설정!$B$4*H306+설정!$B$5*O306*(1+설정!$B$9*(O306-1))+설정!$B$6*P306*(1+설정!$B$9*(P306-1))+설정!$B$7*Q306*(1+설정!$B$9*(Q306-1))+설정!$B$8*R306*(1+설정!$B$9*(R306-1))</f>
        <v>1314</v>
      </c>
      <c r="Y306" s="7">
        <f>설정!$B$10*(O306*(1+설정!$B$9*(O306-1))+P306*(1+설정!$B$9*(P306-1)))</f>
        <v>51</v>
      </c>
      <c r="Z306" s="7">
        <f t="shared" si="4"/>
        <v>24.2</v>
      </c>
      <c r="AA306" s="7">
        <f>X306*설정!$B$11</f>
        <v>131.4</v>
      </c>
      <c r="AB306" s="4" t="s">
        <v>608</v>
      </c>
    </row>
    <row r="307" spans="1:28">
      <c r="A307" s="10" t="s">
        <v>1475</v>
      </c>
      <c r="B307" s="11" t="s">
        <v>1476</v>
      </c>
      <c r="C307" s="11" t="s">
        <v>1441</v>
      </c>
      <c r="D307" s="11" t="s">
        <v>597</v>
      </c>
      <c r="E307" s="11" t="s">
        <v>1477</v>
      </c>
      <c r="F307" s="4" t="s">
        <v>177</v>
      </c>
      <c r="G307" s="4" t="s">
        <v>1201</v>
      </c>
      <c r="H307" s="5">
        <v>22.5</v>
      </c>
      <c r="I307" s="3" t="s">
        <v>1478</v>
      </c>
      <c r="J307" s="3" t="s">
        <v>600</v>
      </c>
      <c r="K307" s="3" t="s">
        <v>37</v>
      </c>
      <c r="L307" s="3"/>
      <c r="M307" s="3"/>
      <c r="N307" s="3"/>
      <c r="O307" s="6">
        <v>1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3"/>
      <c r="W307" s="4" t="s">
        <v>1479</v>
      </c>
      <c r="X307" s="7">
        <f>설정!$B$4*H307+설정!$B$5*O307*(1+설정!$B$9*(O307-1))+설정!$B$6*P307*(1+설정!$B$9*(P307-1))+설정!$B$7*Q307*(1+설정!$B$9*(Q307-1))+설정!$B$8*R307*(1+설정!$B$9*(R307-1))</f>
        <v>825</v>
      </c>
      <c r="Y307" s="7">
        <f>설정!$B$10*(O307*(1+설정!$B$9*(O307-1))+P307*(1+설정!$B$9*(P307-1)))</f>
        <v>15</v>
      </c>
      <c r="Z307" s="7">
        <f t="shared" si="4"/>
        <v>-7.5</v>
      </c>
      <c r="AA307" s="7">
        <f>X307*설정!$B$11</f>
        <v>82.5</v>
      </c>
      <c r="AB307" s="3"/>
    </row>
    <row r="308" spans="1:28">
      <c r="A308" s="10" t="s">
        <v>1480</v>
      </c>
      <c r="B308" s="11" t="s">
        <v>1481</v>
      </c>
      <c r="C308" s="11" t="s">
        <v>1441</v>
      </c>
      <c r="D308" s="11" t="s">
        <v>597</v>
      </c>
      <c r="E308" s="11" t="s">
        <v>1482</v>
      </c>
      <c r="F308" s="4" t="s">
        <v>177</v>
      </c>
      <c r="G308" s="4" t="s">
        <v>1201</v>
      </c>
      <c r="H308" s="5">
        <v>22.1</v>
      </c>
      <c r="I308" s="3" t="s">
        <v>1483</v>
      </c>
      <c r="J308" s="3" t="s">
        <v>600</v>
      </c>
      <c r="K308" s="3" t="s">
        <v>140</v>
      </c>
      <c r="L308" s="4" t="s">
        <v>1289</v>
      </c>
      <c r="M308" s="3"/>
      <c r="N308" s="3"/>
      <c r="O308" s="6">
        <v>2</v>
      </c>
      <c r="P308" s="6">
        <v>1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3"/>
      <c r="W308" s="3"/>
      <c r="X308" s="7">
        <f>설정!$B$4*H308+설정!$B$5*O308*(1+설정!$B$9*(O308-1))+설정!$B$6*P308*(1+설정!$B$9*(P308-1))+설정!$B$7*Q308*(1+설정!$B$9*(Q308-1))+설정!$B$8*R308*(1+설정!$B$9*(R308-1))</f>
        <v>1173</v>
      </c>
      <c r="Y308" s="7">
        <f>설정!$B$10*(O308*(1+설정!$B$9*(O308-1))+P308*(1+설정!$B$9*(P308-1)))</f>
        <v>51</v>
      </c>
      <c r="Z308" s="7">
        <f t="shared" si="4"/>
        <v>28.9</v>
      </c>
      <c r="AA308" s="7">
        <f>X308*설정!$B$11</f>
        <v>117.30000000000001</v>
      </c>
      <c r="AB308" s="3"/>
    </row>
    <row r="309" spans="1:28">
      <c r="A309" s="10" t="s">
        <v>1484</v>
      </c>
      <c r="B309" s="11" t="s">
        <v>1485</v>
      </c>
      <c r="C309" s="11" t="s">
        <v>1441</v>
      </c>
      <c r="D309" s="11" t="s">
        <v>597</v>
      </c>
      <c r="E309" s="11" t="s">
        <v>1486</v>
      </c>
      <c r="F309" s="4" t="s">
        <v>177</v>
      </c>
      <c r="G309" s="4" t="s">
        <v>1201</v>
      </c>
      <c r="H309" s="5">
        <v>20.9</v>
      </c>
      <c r="I309" s="3" t="s">
        <v>1487</v>
      </c>
      <c r="J309" s="3" t="s">
        <v>600</v>
      </c>
      <c r="K309" s="3" t="s">
        <v>37</v>
      </c>
      <c r="L309" s="3"/>
      <c r="M309" s="3"/>
      <c r="N309" s="3"/>
      <c r="O309" s="6">
        <v>1</v>
      </c>
      <c r="P309" s="6">
        <v>0</v>
      </c>
      <c r="Q309" s="6">
        <v>1</v>
      </c>
      <c r="R309" s="6">
        <v>0</v>
      </c>
      <c r="S309" s="6">
        <v>0</v>
      </c>
      <c r="T309" s="6">
        <v>2</v>
      </c>
      <c r="U309" s="6">
        <v>0</v>
      </c>
      <c r="V309" s="4" t="s">
        <v>1488</v>
      </c>
      <c r="W309" s="3"/>
      <c r="X309" s="7">
        <f>설정!$B$4*H309+설정!$B$5*O309*(1+설정!$B$9*(O309-1))+설정!$B$6*P309*(1+설정!$B$9*(P309-1))+설정!$B$7*Q309*(1+설정!$B$9*(Q309-1))+설정!$B$8*R309*(1+설정!$B$9*(R309-1))</f>
        <v>1777</v>
      </c>
      <c r="Y309" s="7">
        <f>설정!$B$10*(O309*(1+설정!$B$9*(O309-1))+P309*(1+설정!$B$9*(P309-1)))</f>
        <v>15</v>
      </c>
      <c r="Z309" s="7">
        <f t="shared" si="4"/>
        <v>-5.8999999999999986</v>
      </c>
      <c r="AA309" s="7">
        <f>X309*설정!$B$11</f>
        <v>177.70000000000002</v>
      </c>
      <c r="AB309" s="3"/>
    </row>
    <row r="310" spans="1:28">
      <c r="A310" s="10" t="s">
        <v>1489</v>
      </c>
      <c r="B310" s="11" t="s">
        <v>1490</v>
      </c>
      <c r="C310" s="11" t="s">
        <v>1441</v>
      </c>
      <c r="D310" s="11" t="s">
        <v>597</v>
      </c>
      <c r="E310" s="11" t="s">
        <v>1491</v>
      </c>
      <c r="F310" s="4" t="s">
        <v>177</v>
      </c>
      <c r="G310" s="4" t="s">
        <v>1201</v>
      </c>
      <c r="H310" s="5">
        <v>19.5</v>
      </c>
      <c r="I310" s="3" t="s">
        <v>1492</v>
      </c>
      <c r="J310" s="3" t="s">
        <v>600</v>
      </c>
      <c r="K310" s="3" t="s">
        <v>37</v>
      </c>
      <c r="L310" s="3"/>
      <c r="M310" s="3"/>
      <c r="N310" s="3"/>
      <c r="O310" s="6">
        <v>2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3"/>
      <c r="W310" s="3"/>
      <c r="X310" s="7">
        <f>설정!$B$4*H310+설정!$B$5*O310*(1+설정!$B$9*(O310-1))+설정!$B$6*P310*(1+설정!$B$9*(P310-1))+설정!$B$7*Q310*(1+설정!$B$9*(Q310-1))+설정!$B$8*R310*(1+설정!$B$9*(R310-1))</f>
        <v>945</v>
      </c>
      <c r="Y310" s="7">
        <f>설정!$B$10*(O310*(1+설정!$B$9*(O310-1))+P310*(1+설정!$B$9*(P310-1)))</f>
        <v>36</v>
      </c>
      <c r="Z310" s="7">
        <f t="shared" si="4"/>
        <v>16.5</v>
      </c>
      <c r="AA310" s="7">
        <f>X310*설정!$B$11</f>
        <v>94.5</v>
      </c>
      <c r="AB310" s="3"/>
    </row>
    <row r="311" spans="1:28">
      <c r="A311" s="10" t="s">
        <v>1493</v>
      </c>
      <c r="B311" s="11" t="s">
        <v>1494</v>
      </c>
      <c r="C311" s="11" t="s">
        <v>1441</v>
      </c>
      <c r="D311" s="11" t="s">
        <v>597</v>
      </c>
      <c r="E311" s="11" t="s">
        <v>1495</v>
      </c>
      <c r="F311" s="4" t="s">
        <v>177</v>
      </c>
      <c r="G311" s="4" t="s">
        <v>1201</v>
      </c>
      <c r="H311" s="5">
        <v>17</v>
      </c>
      <c r="I311" s="3" t="s">
        <v>1496</v>
      </c>
      <c r="J311" s="3" t="s">
        <v>600</v>
      </c>
      <c r="K311" s="3" t="s">
        <v>140</v>
      </c>
      <c r="L311" s="4" t="s">
        <v>1289</v>
      </c>
      <c r="M311" s="3"/>
      <c r="N311" s="3"/>
      <c r="O311" s="6">
        <v>2</v>
      </c>
      <c r="P311" s="6">
        <v>1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3"/>
      <c r="W311" s="4" t="s">
        <v>1497</v>
      </c>
      <c r="X311" s="7">
        <f>설정!$B$4*H311+설정!$B$5*O311*(1+설정!$B$9*(O311-1))+설정!$B$6*P311*(1+설정!$B$9*(P311-1))+설정!$B$7*Q311*(1+설정!$B$9*(Q311-1))+설정!$B$8*R311*(1+설정!$B$9*(R311-1))</f>
        <v>1020</v>
      </c>
      <c r="Y311" s="7">
        <f>설정!$B$10*(O311*(1+설정!$B$9*(O311-1))+P311*(1+설정!$B$9*(P311-1)))</f>
        <v>51</v>
      </c>
      <c r="Z311" s="7">
        <f t="shared" si="4"/>
        <v>34</v>
      </c>
      <c r="AA311" s="7">
        <f>X311*설정!$B$11</f>
        <v>102</v>
      </c>
      <c r="AB311" s="4" t="s">
        <v>608</v>
      </c>
    </row>
    <row r="312" spans="1:28">
      <c r="A312" s="10" t="s">
        <v>1498</v>
      </c>
      <c r="B312" s="11" t="s">
        <v>1499</v>
      </c>
      <c r="C312" s="11" t="s">
        <v>1441</v>
      </c>
      <c r="D312" s="11" t="s">
        <v>597</v>
      </c>
      <c r="E312" s="11" t="s">
        <v>1500</v>
      </c>
      <c r="F312" s="4" t="s">
        <v>177</v>
      </c>
      <c r="G312" s="4" t="s">
        <v>1201</v>
      </c>
      <c r="H312" s="5">
        <v>13.5</v>
      </c>
      <c r="I312" s="3" t="s">
        <v>1501</v>
      </c>
      <c r="J312" s="3" t="s">
        <v>600</v>
      </c>
      <c r="K312" s="3" t="s">
        <v>37</v>
      </c>
      <c r="L312" s="3"/>
      <c r="M312" s="3"/>
      <c r="N312" s="3"/>
      <c r="O312" s="6">
        <v>1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3"/>
      <c r="W312" s="3"/>
      <c r="X312" s="7">
        <f>설정!$B$4*H312+설정!$B$5*O312*(1+설정!$B$9*(O312-1))+설정!$B$6*P312*(1+설정!$B$9*(P312-1))+설정!$B$7*Q312*(1+설정!$B$9*(Q312-1))+설정!$B$8*R312*(1+설정!$B$9*(R312-1))</f>
        <v>555</v>
      </c>
      <c r="Y312" s="7">
        <f>설정!$B$10*(O312*(1+설정!$B$9*(O312-1))+P312*(1+설정!$B$9*(P312-1)))</f>
        <v>15</v>
      </c>
      <c r="Z312" s="7">
        <f t="shared" si="4"/>
        <v>1.5</v>
      </c>
      <c r="AA312" s="7">
        <f>X312*설정!$B$11</f>
        <v>55.5</v>
      </c>
      <c r="AB312" s="3"/>
    </row>
    <row r="313" spans="1:28">
      <c r="A313" s="10" t="s">
        <v>1502</v>
      </c>
      <c r="B313" s="11" t="s">
        <v>1503</v>
      </c>
      <c r="C313" s="11" t="s">
        <v>1441</v>
      </c>
      <c r="D313" s="11" t="s">
        <v>597</v>
      </c>
      <c r="E313" s="11" t="s">
        <v>1504</v>
      </c>
      <c r="F313" s="4" t="s">
        <v>177</v>
      </c>
      <c r="G313" s="4" t="s">
        <v>1201</v>
      </c>
      <c r="H313" s="5">
        <v>11</v>
      </c>
      <c r="I313" s="3" t="s">
        <v>1505</v>
      </c>
      <c r="J313" s="3" t="s">
        <v>600</v>
      </c>
      <c r="K313" s="3" t="s">
        <v>37</v>
      </c>
      <c r="L313" s="3"/>
      <c r="M313" s="3"/>
      <c r="N313" s="3"/>
      <c r="O313" s="6">
        <v>1</v>
      </c>
      <c r="P313" s="6">
        <v>0</v>
      </c>
      <c r="Q313" s="6">
        <v>1</v>
      </c>
      <c r="R313" s="6">
        <v>0</v>
      </c>
      <c r="S313" s="6">
        <v>0</v>
      </c>
      <c r="T313" s="6">
        <v>2</v>
      </c>
      <c r="U313" s="6">
        <v>0</v>
      </c>
      <c r="V313" s="3"/>
      <c r="W313" s="3"/>
      <c r="X313" s="7">
        <f>설정!$B$4*H313+설정!$B$5*O313*(1+설정!$B$9*(O313-1))+설정!$B$6*P313*(1+설정!$B$9*(P313-1))+설정!$B$7*Q313*(1+설정!$B$9*(Q313-1))+설정!$B$8*R313*(1+설정!$B$9*(R313-1))</f>
        <v>1480</v>
      </c>
      <c r="Y313" s="7">
        <f>설정!$B$10*(O313*(1+설정!$B$9*(O313-1))+P313*(1+설정!$B$9*(P313-1)))</f>
        <v>15</v>
      </c>
      <c r="Z313" s="7">
        <f t="shared" si="4"/>
        <v>4</v>
      </c>
      <c r="AA313" s="7">
        <f>X313*설정!$B$11</f>
        <v>148</v>
      </c>
      <c r="AB313" s="3"/>
    </row>
    <row r="314" spans="1:28">
      <c r="A314" s="10" t="s">
        <v>1506</v>
      </c>
      <c r="B314" s="11" t="s">
        <v>1507</v>
      </c>
      <c r="C314" s="11" t="s">
        <v>1441</v>
      </c>
      <c r="D314" s="11" t="s">
        <v>597</v>
      </c>
      <c r="E314" s="11" t="s">
        <v>1508</v>
      </c>
      <c r="F314" s="4" t="s">
        <v>177</v>
      </c>
      <c r="G314" s="4" t="s">
        <v>1201</v>
      </c>
      <c r="H314" s="5">
        <v>9.1999999999999993</v>
      </c>
      <c r="I314" s="3" t="s">
        <v>1509</v>
      </c>
      <c r="J314" s="3" t="s">
        <v>600</v>
      </c>
      <c r="K314" s="3" t="s">
        <v>37</v>
      </c>
      <c r="L314" s="3"/>
      <c r="M314" s="3"/>
      <c r="N314" s="3"/>
      <c r="O314" s="6">
        <v>1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3"/>
      <c r="W314" s="4" t="s">
        <v>1510</v>
      </c>
      <c r="X314" s="7">
        <f>설정!$B$4*H314+설정!$B$5*O314*(1+설정!$B$9*(O314-1))+설정!$B$6*P314*(1+설정!$B$9*(P314-1))+설정!$B$7*Q314*(1+설정!$B$9*(Q314-1))+설정!$B$8*R314*(1+설정!$B$9*(R314-1))</f>
        <v>426</v>
      </c>
      <c r="Y314" s="7">
        <f>설정!$B$10*(O314*(1+설정!$B$9*(O314-1))+P314*(1+설정!$B$9*(P314-1)))</f>
        <v>15</v>
      </c>
      <c r="Z314" s="7">
        <f t="shared" si="4"/>
        <v>5.8000000000000007</v>
      </c>
      <c r="AA314" s="7">
        <f>X314*설정!$B$11</f>
        <v>42.6</v>
      </c>
      <c r="AB314" s="4" t="s">
        <v>608</v>
      </c>
    </row>
    <row r="315" spans="1:28">
      <c r="A315" s="10" t="s">
        <v>1511</v>
      </c>
      <c r="B315" s="11" t="s">
        <v>1512</v>
      </c>
      <c r="C315" s="11" t="s">
        <v>1441</v>
      </c>
      <c r="D315" s="11" t="s">
        <v>597</v>
      </c>
      <c r="E315" s="11" t="s">
        <v>1513</v>
      </c>
      <c r="F315" s="4" t="s">
        <v>177</v>
      </c>
      <c r="G315" s="4" t="s">
        <v>1201</v>
      </c>
      <c r="H315" s="5">
        <v>8.9</v>
      </c>
      <c r="I315" s="3" t="s">
        <v>1514</v>
      </c>
      <c r="J315" s="3" t="s">
        <v>600</v>
      </c>
      <c r="K315" s="3" t="s">
        <v>37</v>
      </c>
      <c r="L315" s="3"/>
      <c r="M315" s="3"/>
      <c r="N315" s="3"/>
      <c r="O315" s="6">
        <v>1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3"/>
      <c r="W315" s="3"/>
      <c r="X315" s="7">
        <f>설정!$B$4*H315+설정!$B$5*O315*(1+설정!$B$9*(O315-1))+설정!$B$6*P315*(1+설정!$B$9*(P315-1))+설정!$B$7*Q315*(1+설정!$B$9*(Q315-1))+설정!$B$8*R315*(1+설정!$B$9*(R315-1))</f>
        <v>417</v>
      </c>
      <c r="Y315" s="7">
        <f>설정!$B$10*(O315*(1+설정!$B$9*(O315-1))+P315*(1+설정!$B$9*(P315-1)))</f>
        <v>15</v>
      </c>
      <c r="Z315" s="7">
        <f t="shared" si="4"/>
        <v>6.1</v>
      </c>
      <c r="AA315" s="7">
        <f>X315*설정!$B$11</f>
        <v>41.7</v>
      </c>
      <c r="AB315" s="3"/>
    </row>
    <row r="316" spans="1:28">
      <c r="A316" s="10" t="s">
        <v>1515</v>
      </c>
      <c r="B316" s="11" t="s">
        <v>1516</v>
      </c>
      <c r="C316" s="11" t="s">
        <v>1441</v>
      </c>
      <c r="D316" s="11" t="s">
        <v>597</v>
      </c>
      <c r="E316" s="11" t="s">
        <v>1517</v>
      </c>
      <c r="F316" s="4" t="s">
        <v>177</v>
      </c>
      <c r="G316" s="4" t="s">
        <v>1201</v>
      </c>
      <c r="H316" s="5">
        <v>7.5</v>
      </c>
      <c r="I316" s="3" t="s">
        <v>1518</v>
      </c>
      <c r="J316" s="3" t="s">
        <v>600</v>
      </c>
      <c r="K316" s="3" t="s">
        <v>37</v>
      </c>
      <c r="L316" s="3"/>
      <c r="M316" s="3"/>
      <c r="N316" s="3"/>
      <c r="O316" s="6">
        <v>1</v>
      </c>
      <c r="P316" s="6">
        <v>0</v>
      </c>
      <c r="Q316" s="6">
        <v>1</v>
      </c>
      <c r="R316" s="6">
        <v>0</v>
      </c>
      <c r="S316" s="6">
        <v>0</v>
      </c>
      <c r="T316" s="6">
        <v>2</v>
      </c>
      <c r="U316" s="6">
        <v>0</v>
      </c>
      <c r="V316" s="3"/>
      <c r="W316" s="3"/>
      <c r="X316" s="7">
        <f>설정!$B$4*H316+설정!$B$5*O316*(1+설정!$B$9*(O316-1))+설정!$B$6*P316*(1+설정!$B$9*(P316-1))+설정!$B$7*Q316*(1+설정!$B$9*(Q316-1))+설정!$B$8*R316*(1+설정!$B$9*(R316-1))</f>
        <v>1375</v>
      </c>
      <c r="Y316" s="7">
        <f>설정!$B$10*(O316*(1+설정!$B$9*(O316-1))+P316*(1+설정!$B$9*(P316-1)))</f>
        <v>15</v>
      </c>
      <c r="Z316" s="7">
        <f t="shared" si="4"/>
        <v>7.5</v>
      </c>
      <c r="AA316" s="7">
        <f>X316*설정!$B$11</f>
        <v>137.5</v>
      </c>
      <c r="AB316" s="3"/>
    </row>
    <row r="317" spans="1:28">
      <c r="A317" s="10" t="s">
        <v>1519</v>
      </c>
      <c r="B317" s="11" t="s">
        <v>1520</v>
      </c>
      <c r="C317" s="11" t="s">
        <v>1441</v>
      </c>
      <c r="D317" s="11" t="s">
        <v>597</v>
      </c>
      <c r="E317" s="11" t="s">
        <v>1521</v>
      </c>
      <c r="F317" s="4" t="s">
        <v>177</v>
      </c>
      <c r="G317" s="4" t="s">
        <v>1201</v>
      </c>
      <c r="H317" s="5">
        <v>7.2</v>
      </c>
      <c r="I317" s="3" t="s">
        <v>1522</v>
      </c>
      <c r="J317" s="3" t="s">
        <v>600</v>
      </c>
      <c r="K317" s="3" t="s">
        <v>37</v>
      </c>
      <c r="L317" s="3"/>
      <c r="M317" s="3"/>
      <c r="N317" s="3"/>
      <c r="O317" s="6">
        <v>1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3"/>
      <c r="W317" s="4" t="s">
        <v>1523</v>
      </c>
      <c r="X317" s="7">
        <f>설정!$B$4*H317+설정!$B$5*O317*(1+설정!$B$9*(O317-1))+설정!$B$6*P317*(1+설정!$B$9*(P317-1))+설정!$B$7*Q317*(1+설정!$B$9*(Q317-1))+설정!$B$8*R317*(1+설정!$B$9*(R317-1))</f>
        <v>366</v>
      </c>
      <c r="Y317" s="7">
        <f>설정!$B$10*(O317*(1+설정!$B$9*(O317-1))+P317*(1+설정!$B$9*(P317-1)))</f>
        <v>15</v>
      </c>
      <c r="Z317" s="7">
        <f t="shared" si="4"/>
        <v>7.8</v>
      </c>
      <c r="AA317" s="7">
        <f>X317*설정!$B$11</f>
        <v>36.6</v>
      </c>
      <c r="AB317" s="4" t="s">
        <v>608</v>
      </c>
    </row>
    <row r="318" spans="1:28">
      <c r="A318" s="10" t="s">
        <v>1524</v>
      </c>
      <c r="B318" s="11" t="s">
        <v>1525</v>
      </c>
      <c r="C318" s="11" t="s">
        <v>1441</v>
      </c>
      <c r="D318" s="11" t="s">
        <v>597</v>
      </c>
      <c r="E318" s="11" t="s">
        <v>1526</v>
      </c>
      <c r="F318" s="4" t="s">
        <v>177</v>
      </c>
      <c r="G318" s="4" t="s">
        <v>1201</v>
      </c>
      <c r="H318" s="5">
        <v>4.9000000000000004</v>
      </c>
      <c r="I318" s="3" t="s">
        <v>1527</v>
      </c>
      <c r="J318" s="3" t="s">
        <v>600</v>
      </c>
      <c r="K318" s="3" t="s">
        <v>37</v>
      </c>
      <c r="L318" s="3"/>
      <c r="M318" s="3"/>
      <c r="N318" s="3"/>
      <c r="O318" s="6">
        <v>1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3"/>
      <c r="W318" s="3"/>
      <c r="X318" s="7">
        <f>설정!$B$4*H318+설정!$B$5*O318*(1+설정!$B$9*(O318-1))+설정!$B$6*P318*(1+설정!$B$9*(P318-1))+설정!$B$7*Q318*(1+설정!$B$9*(Q318-1))+설정!$B$8*R318*(1+설정!$B$9*(R318-1))</f>
        <v>297</v>
      </c>
      <c r="Y318" s="7">
        <f>설정!$B$10*(O318*(1+설정!$B$9*(O318-1))+P318*(1+설정!$B$9*(P318-1)))</f>
        <v>15</v>
      </c>
      <c r="Z318" s="7">
        <f t="shared" si="4"/>
        <v>10.1</v>
      </c>
      <c r="AA318" s="7">
        <f>X318*설정!$B$11</f>
        <v>29.700000000000003</v>
      </c>
      <c r="AB318" s="3"/>
    </row>
    <row r="319" spans="1:28">
      <c r="A319" s="10" t="s">
        <v>1528</v>
      </c>
      <c r="B319" s="11" t="s">
        <v>1529</v>
      </c>
      <c r="C319" s="11" t="s">
        <v>1441</v>
      </c>
      <c r="D319" s="11" t="s">
        <v>597</v>
      </c>
      <c r="E319" s="11" t="s">
        <v>1530</v>
      </c>
      <c r="F319" s="4" t="s">
        <v>177</v>
      </c>
      <c r="G319" s="4" t="s">
        <v>1201</v>
      </c>
      <c r="H319" s="5">
        <v>4.5999999999999996</v>
      </c>
      <c r="I319" s="3" t="s">
        <v>1531</v>
      </c>
      <c r="J319" s="3" t="s">
        <v>600</v>
      </c>
      <c r="K319" s="3" t="s">
        <v>37</v>
      </c>
      <c r="L319" s="3"/>
      <c r="M319" s="3"/>
      <c r="N319" s="3"/>
      <c r="O319" s="6">
        <v>1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1</v>
      </c>
      <c r="V319" s="4" t="s">
        <v>1532</v>
      </c>
      <c r="W319" s="3"/>
      <c r="X319" s="7">
        <f>설정!$B$4*H319+설정!$B$5*O319*(1+설정!$B$9*(O319-1))+설정!$B$6*P319*(1+설정!$B$9*(P319-1))+설정!$B$7*Q319*(1+설정!$B$9*(Q319-1))+설정!$B$8*R319*(1+설정!$B$9*(R319-1))</f>
        <v>288</v>
      </c>
      <c r="Y319" s="7">
        <f>설정!$B$10*(O319*(1+설정!$B$9*(O319-1))+P319*(1+설정!$B$9*(P319-1)))</f>
        <v>15</v>
      </c>
      <c r="Z319" s="7">
        <f t="shared" si="4"/>
        <v>10.4</v>
      </c>
      <c r="AA319" s="7">
        <f>X319*설정!$B$11</f>
        <v>28.8</v>
      </c>
      <c r="AB319" s="3"/>
    </row>
    <row r="320" spans="1:28">
      <c r="A320" s="10" t="s">
        <v>1533</v>
      </c>
      <c r="B320" s="11" t="s">
        <v>1534</v>
      </c>
      <c r="C320" s="11" t="s">
        <v>1535</v>
      </c>
      <c r="D320" s="11" t="s">
        <v>597</v>
      </c>
      <c r="E320" s="11" t="s">
        <v>1536</v>
      </c>
      <c r="F320" s="4" t="s">
        <v>362</v>
      </c>
      <c r="G320" s="4" t="s">
        <v>34</v>
      </c>
      <c r="H320" s="5">
        <v>46.3</v>
      </c>
      <c r="I320" s="3" t="s">
        <v>1537</v>
      </c>
      <c r="J320" s="3" t="s">
        <v>600</v>
      </c>
      <c r="K320" s="3" t="s">
        <v>140</v>
      </c>
      <c r="L320" s="4" t="s">
        <v>1289</v>
      </c>
      <c r="M320" s="3"/>
      <c r="N320" s="3"/>
      <c r="O320" s="6">
        <v>1</v>
      </c>
      <c r="P320" s="6">
        <v>0</v>
      </c>
      <c r="Q320" s="6">
        <v>2</v>
      </c>
      <c r="R320" s="6">
        <v>2</v>
      </c>
      <c r="S320" s="6">
        <v>0</v>
      </c>
      <c r="T320" s="6">
        <v>0</v>
      </c>
      <c r="U320" s="6">
        <v>0</v>
      </c>
      <c r="V320" s="3"/>
      <c r="W320" s="4" t="s">
        <v>1538</v>
      </c>
      <c r="X320" s="7">
        <f>설정!$B$4*H320+설정!$B$5*O320*(1+설정!$B$9*(O320-1))+설정!$B$6*P320*(1+설정!$B$9*(P320-1))+설정!$B$7*Q320*(1+설정!$B$9*(Q320-1))+설정!$B$8*R320*(1+설정!$B$9*(R320-1))</f>
        <v>5379</v>
      </c>
      <c r="Y320" s="7">
        <f>설정!$B$10*(O320*(1+설정!$B$9*(O320-1))+P320*(1+설정!$B$9*(P320-1)))</f>
        <v>15</v>
      </c>
      <c r="Z320" s="7">
        <f t="shared" si="4"/>
        <v>-31.299999999999997</v>
      </c>
      <c r="AA320" s="7">
        <f>X320*설정!$B$11</f>
        <v>537.9</v>
      </c>
      <c r="AB320" s="3"/>
    </row>
    <row r="321" spans="1:28">
      <c r="A321" s="10" t="s">
        <v>1539</v>
      </c>
      <c r="B321" s="11" t="s">
        <v>1540</v>
      </c>
      <c r="C321" s="11" t="s">
        <v>1535</v>
      </c>
      <c r="D321" s="11" t="s">
        <v>597</v>
      </c>
      <c r="E321" s="11" t="s">
        <v>1541</v>
      </c>
      <c r="F321" s="4" t="s">
        <v>362</v>
      </c>
      <c r="G321" s="4" t="s">
        <v>1542</v>
      </c>
      <c r="H321" s="5">
        <v>46.2</v>
      </c>
      <c r="I321" s="3" t="s">
        <v>1543</v>
      </c>
      <c r="J321" s="3" t="s">
        <v>600</v>
      </c>
      <c r="K321" s="3" t="s">
        <v>37</v>
      </c>
      <c r="L321" s="3"/>
      <c r="M321" s="3"/>
      <c r="N321" s="3"/>
      <c r="O321" s="6">
        <v>1</v>
      </c>
      <c r="P321" s="6">
        <v>0</v>
      </c>
      <c r="Q321" s="6">
        <v>2</v>
      </c>
      <c r="R321" s="6">
        <v>1</v>
      </c>
      <c r="S321" s="6">
        <v>0</v>
      </c>
      <c r="T321" s="6">
        <v>0</v>
      </c>
      <c r="U321" s="6">
        <v>0</v>
      </c>
      <c r="V321" s="3"/>
      <c r="W321" s="3"/>
      <c r="X321" s="7">
        <f>설정!$B$4*H321+설정!$B$5*O321*(1+설정!$B$9*(O321-1))+설정!$B$6*P321*(1+설정!$B$9*(P321-1))+설정!$B$7*Q321*(1+설정!$B$9*(Q321-1))+설정!$B$8*R321*(1+설정!$B$9*(R321-1))</f>
        <v>4536</v>
      </c>
      <c r="Y321" s="7">
        <f>설정!$B$10*(O321*(1+설정!$B$9*(O321-1))+P321*(1+설정!$B$9*(P321-1)))</f>
        <v>15</v>
      </c>
      <c r="Z321" s="7">
        <f t="shared" si="4"/>
        <v>-31.200000000000003</v>
      </c>
      <c r="AA321" s="7">
        <f>X321*설정!$B$11</f>
        <v>453.6</v>
      </c>
      <c r="AB321" s="3"/>
    </row>
    <row r="322" spans="1:28">
      <c r="A322" s="10" t="s">
        <v>1544</v>
      </c>
      <c r="B322" s="11" t="s">
        <v>1545</v>
      </c>
      <c r="C322" s="11" t="s">
        <v>1535</v>
      </c>
      <c r="D322" s="11" t="s">
        <v>597</v>
      </c>
      <c r="E322" s="11" t="s">
        <v>1546</v>
      </c>
      <c r="F322" s="4" t="s">
        <v>177</v>
      </c>
      <c r="G322" s="4" t="s">
        <v>1542</v>
      </c>
      <c r="H322" s="5">
        <v>23.3</v>
      </c>
      <c r="I322" s="3" t="s">
        <v>1547</v>
      </c>
      <c r="J322" s="3" t="s">
        <v>600</v>
      </c>
      <c r="K322" s="3" t="s">
        <v>37</v>
      </c>
      <c r="L322" s="3"/>
      <c r="M322" s="3"/>
      <c r="N322" s="3"/>
      <c r="O322" s="6">
        <v>2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3"/>
      <c r="W322" s="4" t="s">
        <v>1548</v>
      </c>
      <c r="X322" s="7">
        <f>설정!$B$4*H322+설정!$B$5*O322*(1+설정!$B$9*(O322-1))+설정!$B$6*P322*(1+설정!$B$9*(P322-1))+설정!$B$7*Q322*(1+설정!$B$9*(Q322-1))+설정!$B$8*R322*(1+설정!$B$9*(R322-1))</f>
        <v>1059</v>
      </c>
      <c r="Y322" s="7">
        <f>설정!$B$10*(O322*(1+설정!$B$9*(O322-1))+P322*(1+설정!$B$9*(P322-1)))</f>
        <v>36</v>
      </c>
      <c r="Z322" s="7">
        <f t="shared" ref="Z322:Z385" si="5">Y322-H322</f>
        <v>12.7</v>
      </c>
      <c r="AA322" s="7">
        <f>X322*설정!$B$11</f>
        <v>105.9</v>
      </c>
      <c r="AB322" s="3"/>
    </row>
    <row r="323" spans="1:28">
      <c r="A323" s="10" t="s">
        <v>1549</v>
      </c>
      <c r="B323" s="11" t="s">
        <v>1550</v>
      </c>
      <c r="C323" s="11" t="s">
        <v>1535</v>
      </c>
      <c r="D323" s="11" t="s">
        <v>597</v>
      </c>
      <c r="E323" s="11" t="s">
        <v>1551</v>
      </c>
      <c r="F323" s="4" t="s">
        <v>362</v>
      </c>
      <c r="G323" s="4" t="s">
        <v>1542</v>
      </c>
      <c r="H323" s="5">
        <v>19.3</v>
      </c>
      <c r="I323" s="3" t="s">
        <v>1552</v>
      </c>
      <c r="J323" s="3" t="s">
        <v>600</v>
      </c>
      <c r="K323" s="3" t="s">
        <v>37</v>
      </c>
      <c r="L323" s="3"/>
      <c r="M323" s="3"/>
      <c r="N323" s="3"/>
      <c r="O323" s="6">
        <v>0</v>
      </c>
      <c r="P323" s="6">
        <v>0</v>
      </c>
      <c r="Q323" s="6">
        <v>2</v>
      </c>
      <c r="R323" s="6">
        <v>1</v>
      </c>
      <c r="S323" s="6">
        <v>0</v>
      </c>
      <c r="T323" s="6">
        <v>0</v>
      </c>
      <c r="U323" s="6">
        <v>0</v>
      </c>
      <c r="V323" s="3"/>
      <c r="W323" s="3"/>
      <c r="X323" s="7">
        <f>설정!$B$4*H323+설정!$B$5*O323*(1+설정!$B$9*(O323-1))+설정!$B$6*P323*(1+설정!$B$9*(P323-1))+설정!$B$7*Q323*(1+설정!$B$9*(Q323-1))+설정!$B$8*R323*(1+설정!$B$9*(R323-1))</f>
        <v>3579</v>
      </c>
      <c r="Y323" s="7">
        <f>설정!$B$10*(O323*(1+설정!$B$9*(O323-1))+P323*(1+설정!$B$9*(P323-1)))</f>
        <v>0</v>
      </c>
      <c r="Z323" s="7">
        <f t="shared" si="5"/>
        <v>-19.3</v>
      </c>
      <c r="AA323" s="7">
        <f>X323*설정!$B$11</f>
        <v>357.90000000000003</v>
      </c>
      <c r="AB323" s="3"/>
    </row>
    <row r="324" spans="1:28">
      <c r="A324" s="10" t="s">
        <v>1553</v>
      </c>
      <c r="B324" s="11" t="s">
        <v>1554</v>
      </c>
      <c r="C324" s="11" t="s">
        <v>1535</v>
      </c>
      <c r="D324" s="11" t="s">
        <v>597</v>
      </c>
      <c r="E324" s="11" t="s">
        <v>1555</v>
      </c>
      <c r="F324" s="4" t="s">
        <v>177</v>
      </c>
      <c r="G324" s="4" t="s">
        <v>1542</v>
      </c>
      <c r="H324" s="5">
        <v>18.7</v>
      </c>
      <c r="I324" s="3" t="s">
        <v>1556</v>
      </c>
      <c r="J324" s="3" t="s">
        <v>600</v>
      </c>
      <c r="K324" s="3" t="s">
        <v>37</v>
      </c>
      <c r="L324" s="3"/>
      <c r="M324" s="3"/>
      <c r="N324" s="3"/>
      <c r="O324" s="6">
        <v>2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3"/>
      <c r="W324" s="4" t="s">
        <v>1557</v>
      </c>
      <c r="X324" s="7">
        <f>설정!$B$4*H324+설정!$B$5*O324*(1+설정!$B$9*(O324-1))+설정!$B$6*P324*(1+설정!$B$9*(P324-1))+설정!$B$7*Q324*(1+설정!$B$9*(Q324-1))+설정!$B$8*R324*(1+설정!$B$9*(R324-1))</f>
        <v>921</v>
      </c>
      <c r="Y324" s="7">
        <f>설정!$B$10*(O324*(1+설정!$B$9*(O324-1))+P324*(1+설정!$B$9*(P324-1)))</f>
        <v>36</v>
      </c>
      <c r="Z324" s="7">
        <f t="shared" si="5"/>
        <v>17.3</v>
      </c>
      <c r="AA324" s="7">
        <f>X324*설정!$B$11</f>
        <v>92.100000000000009</v>
      </c>
      <c r="AB324" s="4" t="s">
        <v>608</v>
      </c>
    </row>
    <row r="325" spans="1:28">
      <c r="A325" s="10" t="s">
        <v>1558</v>
      </c>
      <c r="B325" s="11" t="s">
        <v>1559</v>
      </c>
      <c r="C325" s="11" t="s">
        <v>1535</v>
      </c>
      <c r="D325" s="11" t="s">
        <v>597</v>
      </c>
      <c r="E325" s="11" t="s">
        <v>1560</v>
      </c>
      <c r="F325" s="4" t="s">
        <v>177</v>
      </c>
      <c r="G325" s="4" t="s">
        <v>1542</v>
      </c>
      <c r="H325" s="5">
        <v>18.5</v>
      </c>
      <c r="I325" s="3" t="s">
        <v>1561</v>
      </c>
      <c r="J325" s="3" t="s">
        <v>600</v>
      </c>
      <c r="K325" s="3" t="s">
        <v>37</v>
      </c>
      <c r="L325" s="3"/>
      <c r="M325" s="3"/>
      <c r="N325" s="3"/>
      <c r="O325" s="6">
        <v>2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3"/>
      <c r="W325" s="4" t="s">
        <v>1562</v>
      </c>
      <c r="X325" s="7">
        <f>설정!$B$4*H325+설정!$B$5*O325*(1+설정!$B$9*(O325-1))+설정!$B$6*P325*(1+설정!$B$9*(P325-1))+설정!$B$7*Q325*(1+설정!$B$9*(Q325-1))+설정!$B$8*R325*(1+설정!$B$9*(R325-1))</f>
        <v>915</v>
      </c>
      <c r="Y325" s="7">
        <f>설정!$B$10*(O325*(1+설정!$B$9*(O325-1))+P325*(1+설정!$B$9*(P325-1)))</f>
        <v>36</v>
      </c>
      <c r="Z325" s="7">
        <f t="shared" si="5"/>
        <v>17.5</v>
      </c>
      <c r="AA325" s="7">
        <f>X325*설정!$B$11</f>
        <v>91.5</v>
      </c>
      <c r="AB325" s="4" t="s">
        <v>608</v>
      </c>
    </row>
    <row r="326" spans="1:28">
      <c r="A326" s="10" t="s">
        <v>1563</v>
      </c>
      <c r="B326" s="11" t="s">
        <v>1564</v>
      </c>
      <c r="C326" s="11" t="s">
        <v>1535</v>
      </c>
      <c r="D326" s="11" t="s">
        <v>597</v>
      </c>
      <c r="E326" s="11" t="s">
        <v>1565</v>
      </c>
      <c r="F326" s="4" t="s">
        <v>177</v>
      </c>
      <c r="G326" s="4" t="s">
        <v>1542</v>
      </c>
      <c r="H326" s="5">
        <v>18.100000000000001</v>
      </c>
      <c r="I326" s="3" t="s">
        <v>1566</v>
      </c>
      <c r="J326" s="3" t="s">
        <v>600</v>
      </c>
      <c r="K326" s="3" t="s">
        <v>37</v>
      </c>
      <c r="L326" s="3"/>
      <c r="M326" s="3"/>
      <c r="N326" s="3"/>
      <c r="O326" s="6">
        <v>1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3"/>
      <c r="W326" s="3"/>
      <c r="X326" s="7">
        <f>설정!$B$4*H326+설정!$B$5*O326*(1+설정!$B$9*(O326-1))+설정!$B$6*P326*(1+설정!$B$9*(P326-1))+설정!$B$7*Q326*(1+설정!$B$9*(Q326-1))+설정!$B$8*R326*(1+설정!$B$9*(R326-1))</f>
        <v>693</v>
      </c>
      <c r="Y326" s="7">
        <f>설정!$B$10*(O326*(1+설정!$B$9*(O326-1))+P326*(1+설정!$B$9*(P326-1)))</f>
        <v>15</v>
      </c>
      <c r="Z326" s="7">
        <f t="shared" si="5"/>
        <v>-3.1000000000000014</v>
      </c>
      <c r="AA326" s="7">
        <f>X326*설정!$B$11</f>
        <v>69.3</v>
      </c>
      <c r="AB326" s="3"/>
    </row>
    <row r="327" spans="1:28">
      <c r="A327" s="10" t="s">
        <v>1567</v>
      </c>
      <c r="B327" s="11" t="s">
        <v>1568</v>
      </c>
      <c r="C327" s="11" t="s">
        <v>1535</v>
      </c>
      <c r="D327" s="11" t="s">
        <v>597</v>
      </c>
      <c r="E327" s="11" t="s">
        <v>1569</v>
      </c>
      <c r="F327" s="4" t="s">
        <v>177</v>
      </c>
      <c r="G327" s="4" t="s">
        <v>1542</v>
      </c>
      <c r="H327" s="5">
        <v>16.600000000000001</v>
      </c>
      <c r="I327" s="3" t="s">
        <v>1570</v>
      </c>
      <c r="J327" s="3" t="s">
        <v>600</v>
      </c>
      <c r="K327" s="3" t="s">
        <v>37</v>
      </c>
      <c r="L327" s="3"/>
      <c r="M327" s="3"/>
      <c r="N327" s="3"/>
      <c r="O327" s="6">
        <v>2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3"/>
      <c r="W327" s="3"/>
      <c r="X327" s="7">
        <f>설정!$B$4*H327+설정!$B$5*O327*(1+설정!$B$9*(O327-1))+설정!$B$6*P327*(1+설정!$B$9*(P327-1))+설정!$B$7*Q327*(1+설정!$B$9*(Q327-1))+설정!$B$8*R327*(1+설정!$B$9*(R327-1))</f>
        <v>858</v>
      </c>
      <c r="Y327" s="7">
        <f>설정!$B$10*(O327*(1+설정!$B$9*(O327-1))+P327*(1+설정!$B$9*(P327-1)))</f>
        <v>36</v>
      </c>
      <c r="Z327" s="7">
        <f t="shared" si="5"/>
        <v>19.399999999999999</v>
      </c>
      <c r="AA327" s="7">
        <f>X327*설정!$B$11</f>
        <v>85.800000000000011</v>
      </c>
      <c r="AB327" s="3"/>
    </row>
    <row r="328" spans="1:28">
      <c r="A328" s="10" t="s">
        <v>1571</v>
      </c>
      <c r="B328" s="11" t="s">
        <v>1572</v>
      </c>
      <c r="C328" s="11" t="s">
        <v>1535</v>
      </c>
      <c r="D328" s="11" t="s">
        <v>597</v>
      </c>
      <c r="E328" s="11" t="s">
        <v>1573</v>
      </c>
      <c r="F328" s="4" t="s">
        <v>177</v>
      </c>
      <c r="G328" s="4" t="s">
        <v>1542</v>
      </c>
      <c r="H328" s="5">
        <v>15.1</v>
      </c>
      <c r="I328" s="3" t="s">
        <v>1574</v>
      </c>
      <c r="J328" s="3" t="s">
        <v>600</v>
      </c>
      <c r="K328" s="3" t="s">
        <v>37</v>
      </c>
      <c r="L328" s="3"/>
      <c r="M328" s="3"/>
      <c r="N328" s="3"/>
      <c r="O328" s="6">
        <v>2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3"/>
      <c r="W328" s="4" t="s">
        <v>1575</v>
      </c>
      <c r="X328" s="7">
        <f>설정!$B$4*H328+설정!$B$5*O328*(1+설정!$B$9*(O328-1))+설정!$B$6*P328*(1+설정!$B$9*(P328-1))+설정!$B$7*Q328*(1+설정!$B$9*(Q328-1))+설정!$B$8*R328*(1+설정!$B$9*(R328-1))</f>
        <v>813</v>
      </c>
      <c r="Y328" s="7">
        <f>설정!$B$10*(O328*(1+설정!$B$9*(O328-1))+P328*(1+설정!$B$9*(P328-1)))</f>
        <v>36</v>
      </c>
      <c r="Z328" s="7">
        <f t="shared" si="5"/>
        <v>20.9</v>
      </c>
      <c r="AA328" s="7">
        <f>X328*설정!$B$11</f>
        <v>81.300000000000011</v>
      </c>
      <c r="AB328" s="4" t="s">
        <v>608</v>
      </c>
    </row>
    <row r="329" spans="1:28">
      <c r="A329" s="10" t="s">
        <v>1576</v>
      </c>
      <c r="B329" s="11" t="s">
        <v>1577</v>
      </c>
      <c r="C329" s="11" t="s">
        <v>1535</v>
      </c>
      <c r="D329" s="11" t="s">
        <v>597</v>
      </c>
      <c r="E329" s="11" t="s">
        <v>1578</v>
      </c>
      <c r="F329" s="4" t="s">
        <v>177</v>
      </c>
      <c r="G329" s="4" t="s">
        <v>1201</v>
      </c>
      <c r="H329" s="5">
        <v>13.9</v>
      </c>
      <c r="I329" s="3" t="s">
        <v>1579</v>
      </c>
      <c r="J329" s="3" t="s">
        <v>600</v>
      </c>
      <c r="K329" s="3" t="s">
        <v>37</v>
      </c>
      <c r="L329" s="3"/>
      <c r="M329" s="3"/>
      <c r="N329" s="3"/>
      <c r="O329" s="6">
        <v>2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3"/>
      <c r="W329" s="3"/>
      <c r="X329" s="7">
        <f>설정!$B$4*H329+설정!$B$5*O329*(1+설정!$B$9*(O329-1))+설정!$B$6*P329*(1+설정!$B$9*(P329-1))+설정!$B$7*Q329*(1+설정!$B$9*(Q329-1))+설정!$B$8*R329*(1+설정!$B$9*(R329-1))</f>
        <v>777</v>
      </c>
      <c r="Y329" s="7">
        <f>설정!$B$10*(O329*(1+설정!$B$9*(O329-1))+P329*(1+설정!$B$9*(P329-1)))</f>
        <v>36</v>
      </c>
      <c r="Z329" s="7">
        <f t="shared" si="5"/>
        <v>22.1</v>
      </c>
      <c r="AA329" s="7">
        <f>X329*설정!$B$11</f>
        <v>77.7</v>
      </c>
      <c r="AB329" s="3"/>
    </row>
    <row r="330" spans="1:28">
      <c r="A330" s="10" t="s">
        <v>1580</v>
      </c>
      <c r="B330" s="11" t="s">
        <v>1581</v>
      </c>
      <c r="C330" s="11" t="s">
        <v>1535</v>
      </c>
      <c r="D330" s="11" t="s">
        <v>597</v>
      </c>
      <c r="E330" s="11" t="s">
        <v>1582</v>
      </c>
      <c r="F330" s="4" t="s">
        <v>177</v>
      </c>
      <c r="G330" s="4" t="s">
        <v>1201</v>
      </c>
      <c r="H330" s="5">
        <v>12.8</v>
      </c>
      <c r="I330" s="3" t="s">
        <v>1583</v>
      </c>
      <c r="J330" s="3" t="s">
        <v>600</v>
      </c>
      <c r="K330" s="3" t="s">
        <v>37</v>
      </c>
      <c r="L330" s="3"/>
      <c r="M330" s="3"/>
      <c r="N330" s="3"/>
      <c r="O330" s="6">
        <v>1</v>
      </c>
      <c r="P330" s="6">
        <v>0</v>
      </c>
      <c r="Q330" s="6">
        <v>1</v>
      </c>
      <c r="R330" s="6">
        <v>0</v>
      </c>
      <c r="S330" s="6">
        <v>0</v>
      </c>
      <c r="T330" s="6">
        <v>0</v>
      </c>
      <c r="U330" s="6">
        <v>0</v>
      </c>
      <c r="V330" s="3"/>
      <c r="W330" s="3"/>
      <c r="X330" s="7">
        <f>설정!$B$4*H330+설정!$B$5*O330*(1+설정!$B$9*(O330-1))+설정!$B$6*P330*(1+설정!$B$9*(P330-1))+설정!$B$7*Q330*(1+설정!$B$9*(Q330-1))+설정!$B$8*R330*(1+설정!$B$9*(R330-1))</f>
        <v>1534</v>
      </c>
      <c r="Y330" s="7">
        <f>설정!$B$10*(O330*(1+설정!$B$9*(O330-1))+P330*(1+설정!$B$9*(P330-1)))</f>
        <v>15</v>
      </c>
      <c r="Z330" s="7">
        <f t="shared" si="5"/>
        <v>2.1999999999999993</v>
      </c>
      <c r="AA330" s="7">
        <f>X330*설정!$B$11</f>
        <v>153.4</v>
      </c>
      <c r="AB330" s="3"/>
    </row>
    <row r="331" spans="1:28">
      <c r="A331" s="10" t="s">
        <v>1584</v>
      </c>
      <c r="B331" s="11" t="s">
        <v>1585</v>
      </c>
      <c r="C331" s="11" t="s">
        <v>1535</v>
      </c>
      <c r="D331" s="11" t="s">
        <v>597</v>
      </c>
      <c r="E331" s="11" t="s">
        <v>1586</v>
      </c>
      <c r="F331" s="4" t="s">
        <v>177</v>
      </c>
      <c r="G331" s="4" t="s">
        <v>1542</v>
      </c>
      <c r="H331" s="5">
        <v>11.8</v>
      </c>
      <c r="I331" s="3" t="s">
        <v>1587</v>
      </c>
      <c r="J331" s="3" t="s">
        <v>600</v>
      </c>
      <c r="K331" s="3" t="s">
        <v>37</v>
      </c>
      <c r="L331" s="3"/>
      <c r="M331" s="3"/>
      <c r="N331" s="3"/>
      <c r="O331" s="6">
        <v>1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3"/>
      <c r="W331" s="4" t="s">
        <v>1588</v>
      </c>
      <c r="X331" s="7">
        <f>설정!$B$4*H331+설정!$B$5*O331*(1+설정!$B$9*(O331-1))+설정!$B$6*P331*(1+설정!$B$9*(P331-1))+설정!$B$7*Q331*(1+설정!$B$9*(Q331-1))+설정!$B$8*R331*(1+설정!$B$9*(R331-1))</f>
        <v>504</v>
      </c>
      <c r="Y331" s="7">
        <f>설정!$B$10*(O331*(1+설정!$B$9*(O331-1))+P331*(1+설정!$B$9*(P331-1)))</f>
        <v>15</v>
      </c>
      <c r="Z331" s="7">
        <f t="shared" si="5"/>
        <v>3.1999999999999993</v>
      </c>
      <c r="AA331" s="7">
        <f>X331*설정!$B$11</f>
        <v>50.400000000000006</v>
      </c>
      <c r="AB331" s="4" t="s">
        <v>608</v>
      </c>
    </row>
    <row r="332" spans="1:28">
      <c r="A332" s="10" t="s">
        <v>1589</v>
      </c>
      <c r="B332" s="11" t="s">
        <v>1590</v>
      </c>
      <c r="C332" s="11" t="s">
        <v>1535</v>
      </c>
      <c r="D332" s="11" t="s">
        <v>597</v>
      </c>
      <c r="E332" s="11" t="s">
        <v>1591</v>
      </c>
      <c r="F332" s="4" t="s">
        <v>177</v>
      </c>
      <c r="G332" s="4" t="s">
        <v>1201</v>
      </c>
      <c r="H332" s="5">
        <v>11.6</v>
      </c>
      <c r="I332" s="3" t="s">
        <v>1592</v>
      </c>
      <c r="J332" s="3" t="s">
        <v>600</v>
      </c>
      <c r="K332" s="3" t="s">
        <v>37</v>
      </c>
      <c r="L332" s="3"/>
      <c r="M332" s="3"/>
      <c r="N332" s="3"/>
      <c r="O332" s="6">
        <v>2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3"/>
      <c r="W332" s="3"/>
      <c r="X332" s="7">
        <f>설정!$B$4*H332+설정!$B$5*O332*(1+설정!$B$9*(O332-1))+설정!$B$6*P332*(1+설정!$B$9*(P332-1))+설정!$B$7*Q332*(1+설정!$B$9*(Q332-1))+설정!$B$8*R332*(1+설정!$B$9*(R332-1))</f>
        <v>708</v>
      </c>
      <c r="Y332" s="7">
        <f>설정!$B$10*(O332*(1+설정!$B$9*(O332-1))+P332*(1+설정!$B$9*(P332-1)))</f>
        <v>36</v>
      </c>
      <c r="Z332" s="7">
        <f t="shared" si="5"/>
        <v>24.4</v>
      </c>
      <c r="AA332" s="7">
        <f>X332*설정!$B$11</f>
        <v>70.8</v>
      </c>
      <c r="AB332" s="3"/>
    </row>
    <row r="333" spans="1:28">
      <c r="A333" s="10" t="s">
        <v>1593</v>
      </c>
      <c r="B333" s="11" t="s">
        <v>1594</v>
      </c>
      <c r="C333" s="11" t="s">
        <v>1535</v>
      </c>
      <c r="D333" s="11" t="s">
        <v>597</v>
      </c>
      <c r="E333" s="11" t="s">
        <v>1595</v>
      </c>
      <c r="F333" s="4" t="s">
        <v>177</v>
      </c>
      <c r="G333" s="4" t="s">
        <v>1542</v>
      </c>
      <c r="H333" s="5">
        <v>11.5</v>
      </c>
      <c r="I333" s="3" t="s">
        <v>1596</v>
      </c>
      <c r="J333" s="3" t="s">
        <v>600</v>
      </c>
      <c r="K333" s="3" t="s">
        <v>37</v>
      </c>
      <c r="L333" s="3"/>
      <c r="M333" s="3"/>
      <c r="N333" s="3"/>
      <c r="O333" s="6">
        <v>1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3"/>
      <c r="W333" s="4" t="s">
        <v>1597</v>
      </c>
      <c r="X333" s="7">
        <f>설정!$B$4*H333+설정!$B$5*O333*(1+설정!$B$9*(O333-1))+설정!$B$6*P333*(1+설정!$B$9*(P333-1))+설정!$B$7*Q333*(1+설정!$B$9*(Q333-1))+설정!$B$8*R333*(1+설정!$B$9*(R333-1))</f>
        <v>495</v>
      </c>
      <c r="Y333" s="7">
        <f>설정!$B$10*(O333*(1+설정!$B$9*(O333-1))+P333*(1+설정!$B$9*(P333-1)))</f>
        <v>15</v>
      </c>
      <c r="Z333" s="7">
        <f t="shared" si="5"/>
        <v>3.5</v>
      </c>
      <c r="AA333" s="7">
        <f>X333*설정!$B$11</f>
        <v>49.5</v>
      </c>
      <c r="AB333" s="4" t="s">
        <v>608</v>
      </c>
    </row>
    <row r="334" spans="1:28">
      <c r="A334" s="10" t="s">
        <v>1598</v>
      </c>
      <c r="B334" s="11" t="s">
        <v>1599</v>
      </c>
      <c r="C334" s="11" t="s">
        <v>1535</v>
      </c>
      <c r="D334" s="11" t="s">
        <v>597</v>
      </c>
      <c r="E334" s="11" t="s">
        <v>1600</v>
      </c>
      <c r="F334" s="4" t="s">
        <v>177</v>
      </c>
      <c r="G334" s="4" t="s">
        <v>1542</v>
      </c>
      <c r="H334" s="5">
        <v>11</v>
      </c>
      <c r="I334" s="3" t="s">
        <v>1601</v>
      </c>
      <c r="J334" s="3" t="s">
        <v>600</v>
      </c>
      <c r="K334" s="3" t="s">
        <v>37</v>
      </c>
      <c r="L334" s="3"/>
      <c r="M334" s="3"/>
      <c r="N334" s="3"/>
      <c r="O334" s="6">
        <v>2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3"/>
      <c r="W334" s="3"/>
      <c r="X334" s="7">
        <f>설정!$B$4*H334+설정!$B$5*O334*(1+설정!$B$9*(O334-1))+설정!$B$6*P334*(1+설정!$B$9*(P334-1))+설정!$B$7*Q334*(1+설정!$B$9*(Q334-1))+설정!$B$8*R334*(1+설정!$B$9*(R334-1))</f>
        <v>690</v>
      </c>
      <c r="Y334" s="7">
        <f>설정!$B$10*(O334*(1+설정!$B$9*(O334-1))+P334*(1+설정!$B$9*(P334-1)))</f>
        <v>36</v>
      </c>
      <c r="Z334" s="7">
        <f t="shared" si="5"/>
        <v>25</v>
      </c>
      <c r="AA334" s="7">
        <f>X334*설정!$B$11</f>
        <v>69</v>
      </c>
      <c r="AB334" s="3"/>
    </row>
    <row r="335" spans="1:28">
      <c r="A335" s="10" t="s">
        <v>1602</v>
      </c>
      <c r="B335" s="11" t="s">
        <v>1603</v>
      </c>
      <c r="C335" s="11" t="s">
        <v>1535</v>
      </c>
      <c r="D335" s="11" t="s">
        <v>597</v>
      </c>
      <c r="E335" s="11" t="s">
        <v>1604</v>
      </c>
      <c r="F335" s="4" t="s">
        <v>177</v>
      </c>
      <c r="G335" s="4" t="s">
        <v>1542</v>
      </c>
      <c r="H335" s="5">
        <v>11</v>
      </c>
      <c r="I335" s="3" t="s">
        <v>1605</v>
      </c>
      <c r="J335" s="3" t="s">
        <v>600</v>
      </c>
      <c r="K335" s="3" t="s">
        <v>37</v>
      </c>
      <c r="L335" s="3"/>
      <c r="M335" s="3"/>
      <c r="N335" s="3"/>
      <c r="O335" s="6">
        <v>2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3"/>
      <c r="W335" s="3"/>
      <c r="X335" s="7">
        <f>설정!$B$4*H335+설정!$B$5*O335*(1+설정!$B$9*(O335-1))+설정!$B$6*P335*(1+설정!$B$9*(P335-1))+설정!$B$7*Q335*(1+설정!$B$9*(Q335-1))+설정!$B$8*R335*(1+설정!$B$9*(R335-1))</f>
        <v>690</v>
      </c>
      <c r="Y335" s="7">
        <f>설정!$B$10*(O335*(1+설정!$B$9*(O335-1))+P335*(1+설정!$B$9*(P335-1)))</f>
        <v>36</v>
      </c>
      <c r="Z335" s="7">
        <f t="shared" si="5"/>
        <v>25</v>
      </c>
      <c r="AA335" s="7">
        <f>X335*설정!$B$11</f>
        <v>69</v>
      </c>
      <c r="AB335" s="3"/>
    </row>
    <row r="336" spans="1:28">
      <c r="A336" s="10" t="s">
        <v>1606</v>
      </c>
      <c r="B336" s="11" t="s">
        <v>1607</v>
      </c>
      <c r="C336" s="11" t="s">
        <v>1535</v>
      </c>
      <c r="D336" s="11" t="s">
        <v>597</v>
      </c>
      <c r="E336" s="11" t="s">
        <v>1608</v>
      </c>
      <c r="F336" s="4" t="s">
        <v>177</v>
      </c>
      <c r="G336" s="4" t="s">
        <v>34</v>
      </c>
      <c r="H336" s="5">
        <v>10.4</v>
      </c>
      <c r="I336" s="3" t="s">
        <v>1609</v>
      </c>
      <c r="J336" s="3" t="s">
        <v>600</v>
      </c>
      <c r="K336" s="3" t="s">
        <v>37</v>
      </c>
      <c r="L336" s="3"/>
      <c r="M336" s="3"/>
      <c r="N336" s="3"/>
      <c r="O336" s="6">
        <v>1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3"/>
      <c r="W336" s="3"/>
      <c r="X336" s="7">
        <f>설정!$B$4*H336+설정!$B$5*O336*(1+설정!$B$9*(O336-1))+설정!$B$6*P336*(1+설정!$B$9*(P336-1))+설정!$B$7*Q336*(1+설정!$B$9*(Q336-1))+설정!$B$8*R336*(1+설정!$B$9*(R336-1))</f>
        <v>462</v>
      </c>
      <c r="Y336" s="7">
        <f>설정!$B$10*(O336*(1+설정!$B$9*(O336-1))+P336*(1+설정!$B$9*(P336-1)))</f>
        <v>15</v>
      </c>
      <c r="Z336" s="7">
        <f t="shared" si="5"/>
        <v>4.5999999999999996</v>
      </c>
      <c r="AA336" s="7">
        <f>X336*설정!$B$11</f>
        <v>46.2</v>
      </c>
      <c r="AB336" s="3"/>
    </row>
    <row r="337" spans="1:28">
      <c r="A337" s="10" t="s">
        <v>1610</v>
      </c>
      <c r="B337" s="11" t="s">
        <v>1611</v>
      </c>
      <c r="C337" s="11" t="s">
        <v>1535</v>
      </c>
      <c r="D337" s="11" t="s">
        <v>597</v>
      </c>
      <c r="E337" s="11" t="s">
        <v>1612</v>
      </c>
      <c r="F337" s="4" t="s">
        <v>177</v>
      </c>
      <c r="G337" s="4" t="s">
        <v>1542</v>
      </c>
      <c r="H337" s="5">
        <v>10.199999999999999</v>
      </c>
      <c r="I337" s="3" t="s">
        <v>1613</v>
      </c>
      <c r="J337" s="3" t="s">
        <v>600</v>
      </c>
      <c r="K337" s="3" t="s">
        <v>37</v>
      </c>
      <c r="L337" s="3"/>
      <c r="M337" s="3"/>
      <c r="N337" s="3"/>
      <c r="O337" s="6">
        <v>1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3"/>
      <c r="W337" s="3"/>
      <c r="X337" s="7">
        <f>설정!$B$4*H337+설정!$B$5*O337*(1+설정!$B$9*(O337-1))+설정!$B$6*P337*(1+설정!$B$9*(P337-1))+설정!$B$7*Q337*(1+설정!$B$9*(Q337-1))+설정!$B$8*R337*(1+설정!$B$9*(R337-1))</f>
        <v>456</v>
      </c>
      <c r="Y337" s="7">
        <f>설정!$B$10*(O337*(1+설정!$B$9*(O337-1))+P337*(1+설정!$B$9*(P337-1)))</f>
        <v>15</v>
      </c>
      <c r="Z337" s="7">
        <f t="shared" si="5"/>
        <v>4.8000000000000007</v>
      </c>
      <c r="AA337" s="7">
        <f>X337*설정!$B$11</f>
        <v>45.6</v>
      </c>
      <c r="AB337" s="3"/>
    </row>
    <row r="338" spans="1:28">
      <c r="A338" s="10" t="s">
        <v>1614</v>
      </c>
      <c r="B338" s="11" t="s">
        <v>1615</v>
      </c>
      <c r="C338" s="11" t="s">
        <v>1535</v>
      </c>
      <c r="D338" s="11" t="s">
        <v>597</v>
      </c>
      <c r="E338" s="11" t="s">
        <v>1616</v>
      </c>
      <c r="F338" s="4" t="s">
        <v>177</v>
      </c>
      <c r="G338" s="4" t="s">
        <v>1542</v>
      </c>
      <c r="H338" s="5">
        <v>10</v>
      </c>
      <c r="I338" s="3" t="s">
        <v>1617</v>
      </c>
      <c r="J338" s="3" t="s">
        <v>600</v>
      </c>
      <c r="K338" s="3" t="s">
        <v>37</v>
      </c>
      <c r="L338" s="3"/>
      <c r="M338" s="3"/>
      <c r="N338" s="3"/>
      <c r="O338" s="6">
        <v>1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3"/>
      <c r="W338" s="3"/>
      <c r="X338" s="7">
        <f>설정!$B$4*H338+설정!$B$5*O338*(1+설정!$B$9*(O338-1))+설정!$B$6*P338*(1+설정!$B$9*(P338-1))+설정!$B$7*Q338*(1+설정!$B$9*(Q338-1))+설정!$B$8*R338*(1+설정!$B$9*(R338-1))</f>
        <v>450</v>
      </c>
      <c r="Y338" s="7">
        <f>설정!$B$10*(O338*(1+설정!$B$9*(O338-1))+P338*(1+설정!$B$9*(P338-1)))</f>
        <v>15</v>
      </c>
      <c r="Z338" s="7">
        <f t="shared" si="5"/>
        <v>5</v>
      </c>
      <c r="AA338" s="7">
        <f>X338*설정!$B$11</f>
        <v>45</v>
      </c>
      <c r="AB338" s="3"/>
    </row>
    <row r="339" spans="1:28">
      <c r="A339" s="10" t="s">
        <v>1618</v>
      </c>
      <c r="B339" s="11" t="s">
        <v>1619</v>
      </c>
      <c r="C339" s="11" t="s">
        <v>1535</v>
      </c>
      <c r="D339" s="11" t="s">
        <v>597</v>
      </c>
      <c r="E339" s="11" t="s">
        <v>1620</v>
      </c>
      <c r="F339" s="4" t="s">
        <v>177</v>
      </c>
      <c r="G339" s="4" t="s">
        <v>1542</v>
      </c>
      <c r="H339" s="5">
        <v>9.6</v>
      </c>
      <c r="I339" s="3" t="s">
        <v>1621</v>
      </c>
      <c r="J339" s="3" t="s">
        <v>600</v>
      </c>
      <c r="K339" s="3" t="s">
        <v>37</v>
      </c>
      <c r="L339" s="3"/>
      <c r="M339" s="3"/>
      <c r="N339" s="3"/>
      <c r="O339" s="6">
        <v>1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3"/>
      <c r="W339" s="3"/>
      <c r="X339" s="7">
        <f>설정!$B$4*H339+설정!$B$5*O339*(1+설정!$B$9*(O339-1))+설정!$B$6*P339*(1+설정!$B$9*(P339-1))+설정!$B$7*Q339*(1+설정!$B$9*(Q339-1))+설정!$B$8*R339*(1+설정!$B$9*(R339-1))</f>
        <v>438</v>
      </c>
      <c r="Y339" s="7">
        <f>설정!$B$10*(O339*(1+설정!$B$9*(O339-1))+P339*(1+설정!$B$9*(P339-1)))</f>
        <v>15</v>
      </c>
      <c r="Z339" s="7">
        <f t="shared" si="5"/>
        <v>5.4</v>
      </c>
      <c r="AA339" s="7">
        <f>X339*설정!$B$11</f>
        <v>43.800000000000004</v>
      </c>
      <c r="AB339" s="3"/>
    </row>
    <row r="340" spans="1:28">
      <c r="A340" s="10" t="s">
        <v>1622</v>
      </c>
      <c r="B340" s="11" t="s">
        <v>1623</v>
      </c>
      <c r="C340" s="11" t="s">
        <v>1535</v>
      </c>
      <c r="D340" s="11" t="s">
        <v>597</v>
      </c>
      <c r="E340" s="11" t="s">
        <v>1624</v>
      </c>
      <c r="F340" s="4" t="s">
        <v>177</v>
      </c>
      <c r="G340" s="4" t="s">
        <v>1542</v>
      </c>
      <c r="H340" s="5">
        <v>9.4</v>
      </c>
      <c r="I340" s="3" t="s">
        <v>1625</v>
      </c>
      <c r="J340" s="3" t="s">
        <v>600</v>
      </c>
      <c r="K340" s="3" t="s">
        <v>37</v>
      </c>
      <c r="L340" s="3"/>
      <c r="M340" s="3"/>
      <c r="N340" s="3"/>
      <c r="O340" s="6">
        <v>1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3"/>
      <c r="W340" s="3"/>
      <c r="X340" s="7">
        <f>설정!$B$4*H340+설정!$B$5*O340*(1+설정!$B$9*(O340-1))+설정!$B$6*P340*(1+설정!$B$9*(P340-1))+설정!$B$7*Q340*(1+설정!$B$9*(Q340-1))+설정!$B$8*R340*(1+설정!$B$9*(R340-1))</f>
        <v>432</v>
      </c>
      <c r="Y340" s="7">
        <f>설정!$B$10*(O340*(1+설정!$B$9*(O340-1))+P340*(1+설정!$B$9*(P340-1)))</f>
        <v>15</v>
      </c>
      <c r="Z340" s="7">
        <f t="shared" si="5"/>
        <v>5.6</v>
      </c>
      <c r="AA340" s="7">
        <f>X340*설정!$B$11</f>
        <v>43.2</v>
      </c>
      <c r="AB340" s="3"/>
    </row>
    <row r="341" spans="1:28">
      <c r="A341" s="8" t="s">
        <v>1626</v>
      </c>
      <c r="B341" s="9" t="s">
        <v>1627</v>
      </c>
      <c r="C341" s="9" t="s">
        <v>1628</v>
      </c>
      <c r="D341" s="9" t="s">
        <v>517</v>
      </c>
      <c r="E341" s="9" t="s">
        <v>1629</v>
      </c>
      <c r="F341" s="4" t="s">
        <v>177</v>
      </c>
      <c r="G341" s="4" t="s">
        <v>1542</v>
      </c>
      <c r="H341" s="5">
        <v>24.9</v>
      </c>
      <c r="I341" s="4" t="s">
        <v>1630</v>
      </c>
      <c r="J341" s="4" t="s">
        <v>1631</v>
      </c>
      <c r="K341" s="3" t="s">
        <v>140</v>
      </c>
      <c r="L341" s="4" t="s">
        <v>1632</v>
      </c>
      <c r="M341" s="3"/>
      <c r="N341" s="3"/>
      <c r="O341" s="6">
        <v>1</v>
      </c>
      <c r="P341" s="6">
        <v>2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4" t="s">
        <v>1633</v>
      </c>
      <c r="W341" s="4" t="s">
        <v>1634</v>
      </c>
      <c r="X341" s="7">
        <f>설정!$B$4*H341+설정!$B$5*O341*(1+설정!$B$9*(O341-1))+설정!$B$6*P341*(1+설정!$B$9*(P341-1))+설정!$B$7*Q341*(1+설정!$B$9*(Q341-1))+설정!$B$8*R341*(1+설정!$B$9*(R341-1))</f>
        <v>1257</v>
      </c>
      <c r="Y341" s="7">
        <f>설정!$B$10*(O341*(1+설정!$B$9*(O341-1))+P341*(1+설정!$B$9*(P341-1)))</f>
        <v>51</v>
      </c>
      <c r="Z341" s="7">
        <f t="shared" si="5"/>
        <v>26.1</v>
      </c>
      <c r="AA341" s="7">
        <f>X341*설정!$B$11</f>
        <v>125.7</v>
      </c>
      <c r="AB341" s="3"/>
    </row>
    <row r="342" spans="1:28">
      <c r="A342" s="10" t="s">
        <v>1635</v>
      </c>
      <c r="B342" s="11" t="s">
        <v>1636</v>
      </c>
      <c r="C342" s="11" t="s">
        <v>1628</v>
      </c>
      <c r="D342" s="11" t="s">
        <v>597</v>
      </c>
      <c r="E342" s="11" t="s">
        <v>1637</v>
      </c>
      <c r="F342" s="4" t="s">
        <v>362</v>
      </c>
      <c r="G342" s="4" t="s">
        <v>1542</v>
      </c>
      <c r="H342" s="5">
        <v>41</v>
      </c>
      <c r="I342" s="3" t="s">
        <v>1638</v>
      </c>
      <c r="J342" s="3" t="s">
        <v>600</v>
      </c>
      <c r="K342" s="3" t="s">
        <v>140</v>
      </c>
      <c r="L342" s="4" t="s">
        <v>1289</v>
      </c>
      <c r="M342" s="3"/>
      <c r="N342" s="3"/>
      <c r="O342" s="6">
        <v>1</v>
      </c>
      <c r="P342" s="6">
        <v>1</v>
      </c>
      <c r="Q342" s="6">
        <v>2</v>
      </c>
      <c r="R342" s="6">
        <v>1</v>
      </c>
      <c r="S342" s="6">
        <v>0</v>
      </c>
      <c r="T342" s="6">
        <v>0</v>
      </c>
      <c r="U342" s="6">
        <v>0</v>
      </c>
      <c r="V342" s="3"/>
      <c r="W342" s="4" t="s">
        <v>1639</v>
      </c>
      <c r="X342" s="7">
        <f>설정!$B$4*H342+설정!$B$5*O342*(1+설정!$B$9*(O342-1))+설정!$B$6*P342*(1+설정!$B$9*(P342-1))+설정!$B$7*Q342*(1+설정!$B$9*(Q342-1))+설정!$B$8*R342*(1+설정!$B$9*(R342-1))</f>
        <v>4530</v>
      </c>
      <c r="Y342" s="7">
        <f>설정!$B$10*(O342*(1+설정!$B$9*(O342-1))+P342*(1+설정!$B$9*(P342-1)))</f>
        <v>30</v>
      </c>
      <c r="Z342" s="7">
        <f t="shared" si="5"/>
        <v>-11</v>
      </c>
      <c r="AA342" s="7">
        <f>X342*설정!$B$11</f>
        <v>453</v>
      </c>
      <c r="AB342" s="4" t="s">
        <v>608</v>
      </c>
    </row>
    <row r="343" spans="1:28">
      <c r="A343" s="10" t="s">
        <v>1640</v>
      </c>
      <c r="B343" s="11" t="s">
        <v>1641</v>
      </c>
      <c r="C343" s="11" t="s">
        <v>1628</v>
      </c>
      <c r="D343" s="11" t="s">
        <v>597</v>
      </c>
      <c r="E343" s="11" t="s">
        <v>1642</v>
      </c>
      <c r="F343" s="4" t="s">
        <v>177</v>
      </c>
      <c r="G343" s="4" t="s">
        <v>1542</v>
      </c>
      <c r="H343" s="5">
        <v>24</v>
      </c>
      <c r="I343" s="3" t="s">
        <v>1643</v>
      </c>
      <c r="J343" s="3" t="s">
        <v>600</v>
      </c>
      <c r="K343" s="3" t="s">
        <v>140</v>
      </c>
      <c r="L343" s="4" t="s">
        <v>1289</v>
      </c>
      <c r="M343" s="3"/>
      <c r="N343" s="3"/>
      <c r="O343" s="6">
        <v>2</v>
      </c>
      <c r="P343" s="6">
        <v>1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3"/>
      <c r="W343" s="3"/>
      <c r="X343" s="7">
        <f>설정!$B$4*H343+설정!$B$5*O343*(1+설정!$B$9*(O343-1))+설정!$B$6*P343*(1+설정!$B$9*(P343-1))+설정!$B$7*Q343*(1+설정!$B$9*(Q343-1))+설정!$B$8*R343*(1+설정!$B$9*(R343-1))</f>
        <v>1230</v>
      </c>
      <c r="Y343" s="7">
        <f>설정!$B$10*(O343*(1+설정!$B$9*(O343-1))+P343*(1+설정!$B$9*(P343-1)))</f>
        <v>51</v>
      </c>
      <c r="Z343" s="7">
        <f t="shared" si="5"/>
        <v>27</v>
      </c>
      <c r="AA343" s="7">
        <f>X343*설정!$B$11</f>
        <v>123</v>
      </c>
      <c r="AB343" s="3"/>
    </row>
    <row r="344" spans="1:28">
      <c r="A344" s="10" t="s">
        <v>1644</v>
      </c>
      <c r="B344" s="11" t="s">
        <v>1645</v>
      </c>
      <c r="C344" s="11" t="s">
        <v>1628</v>
      </c>
      <c r="D344" s="11" t="s">
        <v>597</v>
      </c>
      <c r="E344" s="11" t="s">
        <v>1646</v>
      </c>
      <c r="F344" s="4" t="s">
        <v>177</v>
      </c>
      <c r="G344" s="4" t="s">
        <v>1542</v>
      </c>
      <c r="H344" s="5">
        <v>23.8</v>
      </c>
      <c r="I344" s="3" t="s">
        <v>1647</v>
      </c>
      <c r="J344" s="3" t="s">
        <v>600</v>
      </c>
      <c r="K344" s="3" t="s">
        <v>140</v>
      </c>
      <c r="L344" s="4" t="s">
        <v>1289</v>
      </c>
      <c r="M344" s="3"/>
      <c r="N344" s="3"/>
      <c r="O344" s="6">
        <v>2</v>
      </c>
      <c r="P344" s="6">
        <v>1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3"/>
      <c r="W344" s="4" t="s">
        <v>1648</v>
      </c>
      <c r="X344" s="7">
        <f>설정!$B$4*H344+설정!$B$5*O344*(1+설정!$B$9*(O344-1))+설정!$B$6*P344*(1+설정!$B$9*(P344-1))+설정!$B$7*Q344*(1+설정!$B$9*(Q344-1))+설정!$B$8*R344*(1+설정!$B$9*(R344-1))</f>
        <v>1224</v>
      </c>
      <c r="Y344" s="7">
        <f>설정!$B$10*(O344*(1+설정!$B$9*(O344-1))+P344*(1+설정!$B$9*(P344-1)))</f>
        <v>51</v>
      </c>
      <c r="Z344" s="7">
        <f t="shared" si="5"/>
        <v>27.2</v>
      </c>
      <c r="AA344" s="7">
        <f>X344*설정!$B$11</f>
        <v>122.4</v>
      </c>
      <c r="AB344" s="3"/>
    </row>
    <row r="345" spans="1:28">
      <c r="A345" s="10" t="s">
        <v>1649</v>
      </c>
      <c r="B345" s="11" t="s">
        <v>1650</v>
      </c>
      <c r="C345" s="11" t="s">
        <v>1628</v>
      </c>
      <c r="D345" s="11" t="s">
        <v>597</v>
      </c>
      <c r="E345" s="11" t="s">
        <v>1651</v>
      </c>
      <c r="F345" s="4" t="s">
        <v>177</v>
      </c>
      <c r="G345" s="4" t="s">
        <v>1542</v>
      </c>
      <c r="H345" s="5">
        <v>21.4</v>
      </c>
      <c r="I345" s="3" t="s">
        <v>1652</v>
      </c>
      <c r="J345" s="3" t="s">
        <v>600</v>
      </c>
      <c r="K345" s="3" t="s">
        <v>140</v>
      </c>
      <c r="L345" s="4" t="s">
        <v>1289</v>
      </c>
      <c r="M345" s="3"/>
      <c r="N345" s="3"/>
      <c r="O345" s="6">
        <v>2</v>
      </c>
      <c r="P345" s="6">
        <v>1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3"/>
      <c r="W345" s="4" t="s">
        <v>1653</v>
      </c>
      <c r="X345" s="7">
        <f>설정!$B$4*H345+설정!$B$5*O345*(1+설정!$B$9*(O345-1))+설정!$B$6*P345*(1+설정!$B$9*(P345-1))+설정!$B$7*Q345*(1+설정!$B$9*(Q345-1))+설정!$B$8*R345*(1+설정!$B$9*(R345-1))</f>
        <v>1152</v>
      </c>
      <c r="Y345" s="7">
        <f>설정!$B$10*(O345*(1+설정!$B$9*(O345-1))+P345*(1+설정!$B$9*(P345-1)))</f>
        <v>51</v>
      </c>
      <c r="Z345" s="7">
        <f t="shared" si="5"/>
        <v>29.6</v>
      </c>
      <c r="AA345" s="7">
        <f>X345*설정!$B$11</f>
        <v>115.2</v>
      </c>
      <c r="AB345" s="4" t="s">
        <v>608</v>
      </c>
    </row>
    <row r="346" spans="1:28">
      <c r="A346" s="10" t="s">
        <v>1654</v>
      </c>
      <c r="B346" s="11" t="s">
        <v>1655</v>
      </c>
      <c r="C346" s="11" t="s">
        <v>1628</v>
      </c>
      <c r="D346" s="11" t="s">
        <v>597</v>
      </c>
      <c r="E346" s="11" t="s">
        <v>1656</v>
      </c>
      <c r="F346" s="4" t="s">
        <v>177</v>
      </c>
      <c r="G346" s="4" t="s">
        <v>1542</v>
      </c>
      <c r="H346" s="5">
        <v>21.2</v>
      </c>
      <c r="I346" s="3" t="s">
        <v>1657</v>
      </c>
      <c r="J346" s="3" t="s">
        <v>600</v>
      </c>
      <c r="K346" s="3" t="s">
        <v>37</v>
      </c>
      <c r="L346" s="3"/>
      <c r="M346" s="3"/>
      <c r="N346" s="3"/>
      <c r="O346" s="6">
        <v>2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3"/>
      <c r="W346" s="4" t="s">
        <v>1658</v>
      </c>
      <c r="X346" s="7">
        <f>설정!$B$4*H346+설정!$B$5*O346*(1+설정!$B$9*(O346-1))+설정!$B$6*P346*(1+설정!$B$9*(P346-1))+설정!$B$7*Q346*(1+설정!$B$9*(Q346-1))+설정!$B$8*R346*(1+설정!$B$9*(R346-1))</f>
        <v>996</v>
      </c>
      <c r="Y346" s="7">
        <f>설정!$B$10*(O346*(1+설정!$B$9*(O346-1))+P346*(1+설정!$B$9*(P346-1)))</f>
        <v>36</v>
      </c>
      <c r="Z346" s="7">
        <f t="shared" si="5"/>
        <v>14.8</v>
      </c>
      <c r="AA346" s="7">
        <f>X346*설정!$B$11</f>
        <v>99.600000000000009</v>
      </c>
      <c r="AB346" s="3"/>
    </row>
    <row r="347" spans="1:28">
      <c r="A347" s="10" t="s">
        <v>1659</v>
      </c>
      <c r="B347" s="11" t="s">
        <v>1660</v>
      </c>
      <c r="C347" s="11" t="s">
        <v>1628</v>
      </c>
      <c r="D347" s="11" t="s">
        <v>597</v>
      </c>
      <c r="E347" s="11" t="s">
        <v>1661</v>
      </c>
      <c r="F347" s="4" t="s">
        <v>177</v>
      </c>
      <c r="G347" s="4" t="s">
        <v>1542</v>
      </c>
      <c r="H347" s="5">
        <v>18.899999999999999</v>
      </c>
      <c r="I347" s="3" t="s">
        <v>1662</v>
      </c>
      <c r="J347" s="3" t="s">
        <v>600</v>
      </c>
      <c r="K347" s="3" t="s">
        <v>37</v>
      </c>
      <c r="L347" s="3"/>
      <c r="M347" s="3"/>
      <c r="N347" s="3"/>
      <c r="O347" s="6">
        <v>2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3"/>
      <c r="W347" s="4" t="s">
        <v>1663</v>
      </c>
      <c r="X347" s="7">
        <f>설정!$B$4*H347+설정!$B$5*O347*(1+설정!$B$9*(O347-1))+설정!$B$6*P347*(1+설정!$B$9*(P347-1))+설정!$B$7*Q347*(1+설정!$B$9*(Q347-1))+설정!$B$8*R347*(1+설정!$B$9*(R347-1))</f>
        <v>927</v>
      </c>
      <c r="Y347" s="7">
        <f>설정!$B$10*(O347*(1+설정!$B$9*(O347-1))+P347*(1+설정!$B$9*(P347-1)))</f>
        <v>36</v>
      </c>
      <c r="Z347" s="7">
        <f t="shared" si="5"/>
        <v>17.100000000000001</v>
      </c>
      <c r="AA347" s="7">
        <f>X347*설정!$B$11</f>
        <v>92.7</v>
      </c>
      <c r="AB347" s="4" t="s">
        <v>608</v>
      </c>
    </row>
    <row r="348" spans="1:28">
      <c r="A348" s="10" t="s">
        <v>1664</v>
      </c>
      <c r="B348" s="11" t="s">
        <v>1665</v>
      </c>
      <c r="C348" s="11" t="s">
        <v>1628</v>
      </c>
      <c r="D348" s="11" t="s">
        <v>597</v>
      </c>
      <c r="E348" s="11" t="s">
        <v>1666</v>
      </c>
      <c r="F348" s="4" t="s">
        <v>177</v>
      </c>
      <c r="G348" s="4" t="s">
        <v>1542</v>
      </c>
      <c r="H348" s="5">
        <v>18.8</v>
      </c>
      <c r="I348" s="3" t="s">
        <v>1667</v>
      </c>
      <c r="J348" s="3" t="s">
        <v>600</v>
      </c>
      <c r="K348" s="3" t="s">
        <v>37</v>
      </c>
      <c r="L348" s="3"/>
      <c r="M348" s="3"/>
      <c r="N348" s="3"/>
      <c r="O348" s="6">
        <v>2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3"/>
      <c r="W348" s="4" t="s">
        <v>1668</v>
      </c>
      <c r="X348" s="7">
        <f>설정!$B$4*H348+설정!$B$5*O348*(1+설정!$B$9*(O348-1))+설정!$B$6*P348*(1+설정!$B$9*(P348-1))+설정!$B$7*Q348*(1+설정!$B$9*(Q348-1))+설정!$B$8*R348*(1+설정!$B$9*(R348-1))</f>
        <v>924</v>
      </c>
      <c r="Y348" s="7">
        <f>설정!$B$10*(O348*(1+설정!$B$9*(O348-1))+P348*(1+설정!$B$9*(P348-1)))</f>
        <v>36</v>
      </c>
      <c r="Z348" s="7">
        <f t="shared" si="5"/>
        <v>17.2</v>
      </c>
      <c r="AA348" s="7">
        <f>X348*설정!$B$11</f>
        <v>92.4</v>
      </c>
      <c r="AB348" s="3"/>
    </row>
    <row r="349" spans="1:28">
      <c r="A349" s="10" t="s">
        <v>1669</v>
      </c>
      <c r="B349" s="11" t="s">
        <v>1670</v>
      </c>
      <c r="C349" s="11" t="s">
        <v>1628</v>
      </c>
      <c r="D349" s="11" t="s">
        <v>597</v>
      </c>
      <c r="E349" s="11" t="s">
        <v>1671</v>
      </c>
      <c r="F349" s="4" t="s">
        <v>177</v>
      </c>
      <c r="G349" s="4" t="s">
        <v>1542</v>
      </c>
      <c r="H349" s="5">
        <v>16.2</v>
      </c>
      <c r="I349" s="3" t="s">
        <v>1672</v>
      </c>
      <c r="J349" s="3" t="s">
        <v>600</v>
      </c>
      <c r="K349" s="3" t="s">
        <v>140</v>
      </c>
      <c r="L349" s="4" t="s">
        <v>1289</v>
      </c>
      <c r="M349" s="3"/>
      <c r="N349" s="3"/>
      <c r="O349" s="6">
        <v>1</v>
      </c>
      <c r="P349" s="6">
        <v>1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3"/>
      <c r="W349" s="4" t="s">
        <v>1673</v>
      </c>
      <c r="X349" s="7">
        <f>설정!$B$4*H349+설정!$B$5*O349*(1+설정!$B$9*(O349-1))+설정!$B$6*P349*(1+설정!$B$9*(P349-1))+설정!$B$7*Q349*(1+설정!$B$9*(Q349-1))+설정!$B$8*R349*(1+설정!$B$9*(R349-1))</f>
        <v>786</v>
      </c>
      <c r="Y349" s="7">
        <f>설정!$B$10*(O349*(1+설정!$B$9*(O349-1))+P349*(1+설정!$B$9*(P349-1)))</f>
        <v>30</v>
      </c>
      <c r="Z349" s="7">
        <f t="shared" si="5"/>
        <v>13.8</v>
      </c>
      <c r="AA349" s="7">
        <f>X349*설정!$B$11</f>
        <v>78.600000000000009</v>
      </c>
      <c r="AB349" s="4" t="s">
        <v>608</v>
      </c>
    </row>
    <row r="350" spans="1:28">
      <c r="A350" s="10" t="s">
        <v>1674</v>
      </c>
      <c r="B350" s="11" t="s">
        <v>1675</v>
      </c>
      <c r="C350" s="11" t="s">
        <v>1628</v>
      </c>
      <c r="D350" s="11" t="s">
        <v>597</v>
      </c>
      <c r="E350" s="11" t="s">
        <v>1676</v>
      </c>
      <c r="F350" s="4" t="s">
        <v>177</v>
      </c>
      <c r="G350" s="4" t="s">
        <v>1542</v>
      </c>
      <c r="H350" s="5">
        <v>16</v>
      </c>
      <c r="I350" s="3" t="s">
        <v>1677</v>
      </c>
      <c r="J350" s="3" t="s">
        <v>600</v>
      </c>
      <c r="K350" s="3" t="s">
        <v>140</v>
      </c>
      <c r="L350" s="4" t="s">
        <v>1289</v>
      </c>
      <c r="M350" s="3"/>
      <c r="N350" s="3"/>
      <c r="O350" s="6">
        <v>1</v>
      </c>
      <c r="P350" s="6">
        <v>2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3"/>
      <c r="W350" s="4" t="s">
        <v>1678</v>
      </c>
      <c r="X350" s="7">
        <f>설정!$B$4*H350+설정!$B$5*O350*(1+설정!$B$9*(O350-1))+설정!$B$6*P350*(1+설정!$B$9*(P350-1))+설정!$B$7*Q350*(1+설정!$B$9*(Q350-1))+설정!$B$8*R350*(1+설정!$B$9*(R350-1))</f>
        <v>990</v>
      </c>
      <c r="Y350" s="7">
        <f>설정!$B$10*(O350*(1+설정!$B$9*(O350-1))+P350*(1+설정!$B$9*(P350-1)))</f>
        <v>51</v>
      </c>
      <c r="Z350" s="7">
        <f t="shared" si="5"/>
        <v>35</v>
      </c>
      <c r="AA350" s="7">
        <f>X350*설정!$B$11</f>
        <v>99</v>
      </c>
      <c r="AB350" s="4" t="s">
        <v>608</v>
      </c>
    </row>
    <row r="351" spans="1:28">
      <c r="A351" s="10" t="s">
        <v>1679</v>
      </c>
      <c r="B351" s="11" t="s">
        <v>1680</v>
      </c>
      <c r="C351" s="11" t="s">
        <v>1628</v>
      </c>
      <c r="D351" s="11" t="s">
        <v>597</v>
      </c>
      <c r="E351" s="11" t="s">
        <v>1681</v>
      </c>
      <c r="F351" s="4" t="s">
        <v>177</v>
      </c>
      <c r="G351" s="4" t="s">
        <v>1542</v>
      </c>
      <c r="H351" s="5">
        <v>14.3</v>
      </c>
      <c r="I351" s="3" t="s">
        <v>1682</v>
      </c>
      <c r="J351" s="3" t="s">
        <v>600</v>
      </c>
      <c r="K351" s="3" t="s">
        <v>37</v>
      </c>
      <c r="L351" s="3"/>
      <c r="M351" s="3"/>
      <c r="N351" s="3"/>
      <c r="O351" s="6">
        <v>2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3"/>
      <c r="W351" s="3"/>
      <c r="X351" s="7">
        <f>설정!$B$4*H351+설정!$B$5*O351*(1+설정!$B$9*(O351-1))+설정!$B$6*P351*(1+설정!$B$9*(P351-1))+설정!$B$7*Q351*(1+설정!$B$9*(Q351-1))+설정!$B$8*R351*(1+설정!$B$9*(R351-1))</f>
        <v>789</v>
      </c>
      <c r="Y351" s="7">
        <f>설정!$B$10*(O351*(1+설정!$B$9*(O351-1))+P351*(1+설정!$B$9*(P351-1)))</f>
        <v>36</v>
      </c>
      <c r="Z351" s="7">
        <f t="shared" si="5"/>
        <v>21.7</v>
      </c>
      <c r="AA351" s="7">
        <f>X351*설정!$B$11</f>
        <v>78.900000000000006</v>
      </c>
      <c r="AB351" s="3"/>
    </row>
    <row r="352" spans="1:28">
      <c r="A352" s="10" t="s">
        <v>1683</v>
      </c>
      <c r="B352" s="11" t="s">
        <v>1684</v>
      </c>
      <c r="C352" s="11" t="s">
        <v>1628</v>
      </c>
      <c r="D352" s="11" t="s">
        <v>597</v>
      </c>
      <c r="E352" s="11" t="s">
        <v>1685</v>
      </c>
      <c r="F352" s="4" t="s">
        <v>177</v>
      </c>
      <c r="G352" s="4" t="s">
        <v>1542</v>
      </c>
      <c r="H352" s="5">
        <v>13.7</v>
      </c>
      <c r="I352" s="3" t="s">
        <v>1686</v>
      </c>
      <c r="J352" s="3" t="s">
        <v>600</v>
      </c>
      <c r="K352" s="3" t="s">
        <v>140</v>
      </c>
      <c r="L352" s="4" t="s">
        <v>1289</v>
      </c>
      <c r="M352" s="3"/>
      <c r="N352" s="3"/>
      <c r="O352" s="6">
        <v>2</v>
      </c>
      <c r="P352" s="6">
        <v>1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3"/>
      <c r="W352" s="3"/>
      <c r="X352" s="7">
        <f>설정!$B$4*H352+설정!$B$5*O352*(1+설정!$B$9*(O352-1))+설정!$B$6*P352*(1+설정!$B$9*(P352-1))+설정!$B$7*Q352*(1+설정!$B$9*(Q352-1))+설정!$B$8*R352*(1+설정!$B$9*(R352-1))</f>
        <v>921</v>
      </c>
      <c r="Y352" s="7">
        <f>설정!$B$10*(O352*(1+설정!$B$9*(O352-1))+P352*(1+설정!$B$9*(P352-1)))</f>
        <v>51</v>
      </c>
      <c r="Z352" s="7">
        <f t="shared" si="5"/>
        <v>37.299999999999997</v>
      </c>
      <c r="AA352" s="7">
        <f>X352*설정!$B$11</f>
        <v>92.100000000000009</v>
      </c>
      <c r="AB352" s="3"/>
    </row>
    <row r="353" spans="1:28">
      <c r="A353" s="10" t="s">
        <v>1687</v>
      </c>
      <c r="B353" s="11" t="s">
        <v>1688</v>
      </c>
      <c r="C353" s="11" t="s">
        <v>1628</v>
      </c>
      <c r="D353" s="11" t="s">
        <v>597</v>
      </c>
      <c r="E353" s="11" t="s">
        <v>1689</v>
      </c>
      <c r="F353" s="4" t="s">
        <v>177</v>
      </c>
      <c r="G353" s="4" t="s">
        <v>1542</v>
      </c>
      <c r="H353" s="5">
        <v>13.6</v>
      </c>
      <c r="I353" s="3" t="s">
        <v>1690</v>
      </c>
      <c r="J353" s="3" t="s">
        <v>600</v>
      </c>
      <c r="K353" s="3" t="s">
        <v>140</v>
      </c>
      <c r="L353" s="4" t="s">
        <v>1289</v>
      </c>
      <c r="M353" s="3"/>
      <c r="N353" s="3"/>
      <c r="O353" s="6">
        <v>2</v>
      </c>
      <c r="P353" s="6">
        <v>1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3"/>
      <c r="W353" s="3"/>
      <c r="X353" s="7">
        <f>설정!$B$4*H353+설정!$B$5*O353*(1+설정!$B$9*(O353-1))+설정!$B$6*P353*(1+설정!$B$9*(P353-1))+설정!$B$7*Q353*(1+설정!$B$9*(Q353-1))+설정!$B$8*R353*(1+설정!$B$9*(R353-1))</f>
        <v>918</v>
      </c>
      <c r="Y353" s="7">
        <f>설정!$B$10*(O353*(1+설정!$B$9*(O353-1))+P353*(1+설정!$B$9*(P353-1)))</f>
        <v>51</v>
      </c>
      <c r="Z353" s="7">
        <f t="shared" si="5"/>
        <v>37.4</v>
      </c>
      <c r="AA353" s="7">
        <f>X353*설정!$B$11</f>
        <v>91.800000000000011</v>
      </c>
      <c r="AB353" s="3"/>
    </row>
    <row r="354" spans="1:28">
      <c r="A354" s="10" t="s">
        <v>1691</v>
      </c>
      <c r="B354" s="11" t="s">
        <v>1692</v>
      </c>
      <c r="C354" s="11" t="s">
        <v>1628</v>
      </c>
      <c r="D354" s="11" t="s">
        <v>597</v>
      </c>
      <c r="E354" s="11" t="s">
        <v>1693</v>
      </c>
      <c r="F354" s="4" t="s">
        <v>177</v>
      </c>
      <c r="G354" s="4" t="s">
        <v>1542</v>
      </c>
      <c r="H354" s="5">
        <v>13.5</v>
      </c>
      <c r="I354" s="3" t="s">
        <v>1694</v>
      </c>
      <c r="J354" s="3" t="s">
        <v>600</v>
      </c>
      <c r="K354" s="3" t="s">
        <v>140</v>
      </c>
      <c r="L354" s="4" t="s">
        <v>1289</v>
      </c>
      <c r="M354" s="3"/>
      <c r="N354" s="3"/>
      <c r="O354" s="6">
        <v>2</v>
      </c>
      <c r="P354" s="6">
        <v>1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3"/>
      <c r="W354" s="4" t="s">
        <v>1695</v>
      </c>
      <c r="X354" s="7">
        <f>설정!$B$4*H354+설정!$B$5*O354*(1+설정!$B$9*(O354-1))+설정!$B$6*P354*(1+설정!$B$9*(P354-1))+설정!$B$7*Q354*(1+설정!$B$9*(Q354-1))+설정!$B$8*R354*(1+설정!$B$9*(R354-1))</f>
        <v>915</v>
      </c>
      <c r="Y354" s="7">
        <f>설정!$B$10*(O354*(1+설정!$B$9*(O354-1))+P354*(1+설정!$B$9*(P354-1)))</f>
        <v>51</v>
      </c>
      <c r="Z354" s="7">
        <f t="shared" si="5"/>
        <v>37.5</v>
      </c>
      <c r="AA354" s="7">
        <f>X354*설정!$B$11</f>
        <v>91.5</v>
      </c>
      <c r="AB354" s="4" t="s">
        <v>608</v>
      </c>
    </row>
    <row r="355" spans="1:28">
      <c r="A355" s="10" t="s">
        <v>1696</v>
      </c>
      <c r="B355" s="11" t="s">
        <v>1697</v>
      </c>
      <c r="C355" s="11" t="s">
        <v>1628</v>
      </c>
      <c r="D355" s="11" t="s">
        <v>597</v>
      </c>
      <c r="E355" s="11" t="s">
        <v>1698</v>
      </c>
      <c r="F355" s="4" t="s">
        <v>177</v>
      </c>
      <c r="G355" s="4" t="s">
        <v>1542</v>
      </c>
      <c r="H355" s="5">
        <v>13.5</v>
      </c>
      <c r="I355" s="3" t="s">
        <v>1699</v>
      </c>
      <c r="J355" s="3" t="s">
        <v>600</v>
      </c>
      <c r="K355" s="3" t="s">
        <v>140</v>
      </c>
      <c r="L355" s="4" t="s">
        <v>1289</v>
      </c>
      <c r="M355" s="3"/>
      <c r="N355" s="3"/>
      <c r="O355" s="6">
        <v>2</v>
      </c>
      <c r="P355" s="6">
        <v>1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3"/>
      <c r="W355" s="4" t="s">
        <v>1700</v>
      </c>
      <c r="X355" s="7">
        <f>설정!$B$4*H355+설정!$B$5*O355*(1+설정!$B$9*(O355-1))+설정!$B$6*P355*(1+설정!$B$9*(P355-1))+설정!$B$7*Q355*(1+설정!$B$9*(Q355-1))+설정!$B$8*R355*(1+설정!$B$9*(R355-1))</f>
        <v>915</v>
      </c>
      <c r="Y355" s="7">
        <f>설정!$B$10*(O355*(1+설정!$B$9*(O355-1))+P355*(1+설정!$B$9*(P355-1)))</f>
        <v>51</v>
      </c>
      <c r="Z355" s="7">
        <f t="shared" si="5"/>
        <v>37.5</v>
      </c>
      <c r="AA355" s="7">
        <f>X355*설정!$B$11</f>
        <v>91.5</v>
      </c>
      <c r="AB355" s="3"/>
    </row>
    <row r="356" spans="1:28">
      <c r="A356" s="10" t="s">
        <v>1701</v>
      </c>
      <c r="B356" s="11" t="s">
        <v>1702</v>
      </c>
      <c r="C356" s="11" t="s">
        <v>1628</v>
      </c>
      <c r="D356" s="11" t="s">
        <v>597</v>
      </c>
      <c r="E356" s="11" t="s">
        <v>1703</v>
      </c>
      <c r="F356" s="4" t="s">
        <v>177</v>
      </c>
      <c r="G356" s="4" t="s">
        <v>1542</v>
      </c>
      <c r="H356" s="5">
        <v>12.9</v>
      </c>
      <c r="I356" s="3" t="s">
        <v>1704</v>
      </c>
      <c r="J356" s="3" t="s">
        <v>600</v>
      </c>
      <c r="K356" s="3" t="s">
        <v>37</v>
      </c>
      <c r="L356" s="3"/>
      <c r="M356" s="3"/>
      <c r="N356" s="3"/>
      <c r="O356" s="6">
        <v>2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3"/>
      <c r="W356" s="3"/>
      <c r="X356" s="7">
        <f>설정!$B$4*H356+설정!$B$5*O356*(1+설정!$B$9*(O356-1))+설정!$B$6*P356*(1+설정!$B$9*(P356-1))+설정!$B$7*Q356*(1+설정!$B$9*(Q356-1))+설정!$B$8*R356*(1+설정!$B$9*(R356-1))</f>
        <v>747</v>
      </c>
      <c r="Y356" s="7">
        <f>설정!$B$10*(O356*(1+설정!$B$9*(O356-1))+P356*(1+설정!$B$9*(P356-1)))</f>
        <v>36</v>
      </c>
      <c r="Z356" s="7">
        <f t="shared" si="5"/>
        <v>23.1</v>
      </c>
      <c r="AA356" s="7">
        <f>X356*설정!$B$11</f>
        <v>74.7</v>
      </c>
      <c r="AB356" s="3"/>
    </row>
    <row r="357" spans="1:28">
      <c r="A357" s="10" t="s">
        <v>1705</v>
      </c>
      <c r="B357" s="11" t="s">
        <v>1706</v>
      </c>
      <c r="C357" s="11" t="s">
        <v>1628</v>
      </c>
      <c r="D357" s="11" t="s">
        <v>597</v>
      </c>
      <c r="E357" s="11" t="s">
        <v>1707</v>
      </c>
      <c r="F357" s="4" t="s">
        <v>177</v>
      </c>
      <c r="G357" s="4" t="s">
        <v>1542</v>
      </c>
      <c r="H357" s="5">
        <v>12.5</v>
      </c>
      <c r="I357" s="3" t="s">
        <v>1708</v>
      </c>
      <c r="J357" s="3" t="s">
        <v>600</v>
      </c>
      <c r="K357" s="3" t="s">
        <v>37</v>
      </c>
      <c r="L357" s="3"/>
      <c r="M357" s="3"/>
      <c r="N357" s="3"/>
      <c r="O357" s="6">
        <v>2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3"/>
      <c r="W357" s="3"/>
      <c r="X357" s="7">
        <f>설정!$B$4*H357+설정!$B$5*O357*(1+설정!$B$9*(O357-1))+설정!$B$6*P357*(1+설정!$B$9*(P357-1))+설정!$B$7*Q357*(1+설정!$B$9*(Q357-1))+설정!$B$8*R357*(1+설정!$B$9*(R357-1))</f>
        <v>735</v>
      </c>
      <c r="Y357" s="7">
        <f>설정!$B$10*(O357*(1+설정!$B$9*(O357-1))+P357*(1+설정!$B$9*(P357-1)))</f>
        <v>36</v>
      </c>
      <c r="Z357" s="7">
        <f t="shared" si="5"/>
        <v>23.5</v>
      </c>
      <c r="AA357" s="7">
        <f>X357*설정!$B$11</f>
        <v>73.5</v>
      </c>
      <c r="AB357" s="3"/>
    </row>
    <row r="358" spans="1:28">
      <c r="A358" s="10" t="s">
        <v>1709</v>
      </c>
      <c r="B358" s="11" t="s">
        <v>1710</v>
      </c>
      <c r="C358" s="11" t="s">
        <v>1628</v>
      </c>
      <c r="D358" s="11" t="s">
        <v>597</v>
      </c>
      <c r="E358" s="11" t="s">
        <v>1711</v>
      </c>
      <c r="F358" s="4" t="s">
        <v>177</v>
      </c>
      <c r="G358" s="4" t="s">
        <v>1542</v>
      </c>
      <c r="H358" s="5">
        <v>12</v>
      </c>
      <c r="I358" s="3" t="s">
        <v>1712</v>
      </c>
      <c r="J358" s="3" t="s">
        <v>600</v>
      </c>
      <c r="K358" s="3" t="s">
        <v>37</v>
      </c>
      <c r="L358" s="3"/>
      <c r="M358" s="3"/>
      <c r="N358" s="3"/>
      <c r="O358" s="6">
        <v>2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3"/>
      <c r="W358" s="3"/>
      <c r="X358" s="7">
        <f>설정!$B$4*H358+설정!$B$5*O358*(1+설정!$B$9*(O358-1))+설정!$B$6*P358*(1+설정!$B$9*(P358-1))+설정!$B$7*Q358*(1+설정!$B$9*(Q358-1))+설정!$B$8*R358*(1+설정!$B$9*(R358-1))</f>
        <v>720</v>
      </c>
      <c r="Y358" s="7">
        <f>설정!$B$10*(O358*(1+설정!$B$9*(O358-1))+P358*(1+설정!$B$9*(P358-1)))</f>
        <v>36</v>
      </c>
      <c r="Z358" s="7">
        <f t="shared" si="5"/>
        <v>24</v>
      </c>
      <c r="AA358" s="7">
        <f>X358*설정!$B$11</f>
        <v>72</v>
      </c>
      <c r="AB358" s="3"/>
    </row>
    <row r="359" spans="1:28">
      <c r="A359" s="10" t="s">
        <v>1713</v>
      </c>
      <c r="B359" s="11" t="s">
        <v>1714</v>
      </c>
      <c r="C359" s="11" t="s">
        <v>1628</v>
      </c>
      <c r="D359" s="11" t="s">
        <v>597</v>
      </c>
      <c r="E359" s="11" t="s">
        <v>1715</v>
      </c>
      <c r="F359" s="4" t="s">
        <v>177</v>
      </c>
      <c r="G359" s="4" t="s">
        <v>1542</v>
      </c>
      <c r="H359" s="5">
        <v>9.6</v>
      </c>
      <c r="I359" s="3" t="s">
        <v>1716</v>
      </c>
      <c r="J359" s="3" t="s">
        <v>600</v>
      </c>
      <c r="K359" s="3" t="s">
        <v>140</v>
      </c>
      <c r="L359" s="4" t="s">
        <v>1289</v>
      </c>
      <c r="M359" s="3"/>
      <c r="N359" s="3"/>
      <c r="O359" s="6">
        <v>1</v>
      </c>
      <c r="P359" s="6">
        <v>1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3"/>
      <c r="W359" s="3"/>
      <c r="X359" s="7">
        <f>설정!$B$4*H359+설정!$B$5*O359*(1+설정!$B$9*(O359-1))+설정!$B$6*P359*(1+설정!$B$9*(P359-1))+설정!$B$7*Q359*(1+설정!$B$9*(Q359-1))+설정!$B$8*R359*(1+설정!$B$9*(R359-1))</f>
        <v>588</v>
      </c>
      <c r="Y359" s="7">
        <f>설정!$B$10*(O359*(1+설정!$B$9*(O359-1))+P359*(1+설정!$B$9*(P359-1)))</f>
        <v>30</v>
      </c>
      <c r="Z359" s="7">
        <f t="shared" si="5"/>
        <v>20.399999999999999</v>
      </c>
      <c r="AA359" s="7">
        <f>X359*설정!$B$11</f>
        <v>58.800000000000004</v>
      </c>
      <c r="AB359" s="3"/>
    </row>
    <row r="360" spans="1:28">
      <c r="A360" s="10" t="s">
        <v>1717</v>
      </c>
      <c r="B360" s="11" t="s">
        <v>1718</v>
      </c>
      <c r="C360" s="11" t="s">
        <v>1628</v>
      </c>
      <c r="D360" s="11" t="s">
        <v>597</v>
      </c>
      <c r="E360" s="11" t="s">
        <v>1719</v>
      </c>
      <c r="F360" s="4" t="s">
        <v>177</v>
      </c>
      <c r="G360" s="4" t="s">
        <v>1542</v>
      </c>
      <c r="H360" s="5">
        <v>6.6</v>
      </c>
      <c r="I360" s="3" t="s">
        <v>1720</v>
      </c>
      <c r="J360" s="3" t="s">
        <v>600</v>
      </c>
      <c r="K360" s="3" t="s">
        <v>140</v>
      </c>
      <c r="L360" s="4" t="s">
        <v>1289</v>
      </c>
      <c r="M360" s="3"/>
      <c r="N360" s="3"/>
      <c r="O360" s="6">
        <v>2</v>
      </c>
      <c r="P360" s="6">
        <v>1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3"/>
      <c r="W360" s="3"/>
      <c r="X360" s="7">
        <f>설정!$B$4*H360+설정!$B$5*O360*(1+설정!$B$9*(O360-1))+설정!$B$6*P360*(1+설정!$B$9*(P360-1))+설정!$B$7*Q360*(1+설정!$B$9*(Q360-1))+설정!$B$8*R360*(1+설정!$B$9*(R360-1))</f>
        <v>708</v>
      </c>
      <c r="Y360" s="7">
        <f>설정!$B$10*(O360*(1+설정!$B$9*(O360-1))+P360*(1+설정!$B$9*(P360-1)))</f>
        <v>51</v>
      </c>
      <c r="Z360" s="7">
        <f t="shared" si="5"/>
        <v>44.4</v>
      </c>
      <c r="AA360" s="7">
        <f>X360*설정!$B$11</f>
        <v>70.8</v>
      </c>
      <c r="AB360" s="3"/>
    </row>
    <row r="361" spans="1:28">
      <c r="A361" s="10" t="s">
        <v>1721</v>
      </c>
      <c r="B361" s="11" t="s">
        <v>1722</v>
      </c>
      <c r="C361" s="11" t="s">
        <v>1723</v>
      </c>
      <c r="D361" s="11" t="s">
        <v>597</v>
      </c>
      <c r="E361" s="11" t="s">
        <v>1724</v>
      </c>
      <c r="F361" s="4" t="s">
        <v>362</v>
      </c>
      <c r="G361" s="4" t="s">
        <v>1316</v>
      </c>
      <c r="H361" s="5">
        <v>115.3</v>
      </c>
      <c r="I361" s="3" t="s">
        <v>1725</v>
      </c>
      <c r="J361" s="3" t="s">
        <v>600</v>
      </c>
      <c r="K361" s="3" t="s">
        <v>140</v>
      </c>
      <c r="L361" s="4" t="s">
        <v>601</v>
      </c>
      <c r="M361" s="3"/>
      <c r="N361" s="3"/>
      <c r="O361" s="6">
        <v>0</v>
      </c>
      <c r="P361" s="6">
        <v>1</v>
      </c>
      <c r="Q361" s="6">
        <v>2</v>
      </c>
      <c r="R361" s="6">
        <v>2</v>
      </c>
      <c r="S361" s="6">
        <v>0</v>
      </c>
      <c r="T361" s="6">
        <v>0</v>
      </c>
      <c r="U361" s="6">
        <v>0</v>
      </c>
      <c r="V361" s="3"/>
      <c r="W361" s="4" t="s">
        <v>1726</v>
      </c>
      <c r="X361" s="7">
        <f>설정!$B$4*H361+설정!$B$5*O361*(1+설정!$B$9*(O361-1))+설정!$B$6*P361*(1+설정!$B$9*(P361-1))+설정!$B$7*Q361*(1+설정!$B$9*(Q361-1))+설정!$B$8*R361*(1+설정!$B$9*(R361-1))</f>
        <v>7449</v>
      </c>
      <c r="Y361" s="7">
        <f>설정!$B$10*(O361*(1+설정!$B$9*(O361-1))+P361*(1+설정!$B$9*(P361-1)))</f>
        <v>15</v>
      </c>
      <c r="Z361" s="7">
        <f t="shared" si="5"/>
        <v>-100.3</v>
      </c>
      <c r="AA361" s="7">
        <f>X361*설정!$B$11</f>
        <v>744.90000000000009</v>
      </c>
      <c r="AB361" s="3"/>
    </row>
    <row r="362" spans="1:28">
      <c r="A362" s="10" t="s">
        <v>1727</v>
      </c>
      <c r="B362" s="11" t="s">
        <v>1728</v>
      </c>
      <c r="C362" s="11" t="s">
        <v>1723</v>
      </c>
      <c r="D362" s="11" t="s">
        <v>597</v>
      </c>
      <c r="E362" s="11" t="s">
        <v>1729</v>
      </c>
      <c r="F362" s="4" t="s">
        <v>362</v>
      </c>
      <c r="G362" s="4" t="s">
        <v>1316</v>
      </c>
      <c r="H362" s="5">
        <v>51.9</v>
      </c>
      <c r="I362" s="3" t="s">
        <v>1730</v>
      </c>
      <c r="J362" s="3" t="s">
        <v>600</v>
      </c>
      <c r="K362" s="3" t="s">
        <v>140</v>
      </c>
      <c r="L362" s="4" t="s">
        <v>601</v>
      </c>
      <c r="M362" s="3"/>
      <c r="N362" s="3"/>
      <c r="O362" s="6">
        <v>1</v>
      </c>
      <c r="P362" s="6">
        <v>1</v>
      </c>
      <c r="Q362" s="6">
        <v>2</v>
      </c>
      <c r="R362" s="6">
        <v>1</v>
      </c>
      <c r="S362" s="6">
        <v>0</v>
      </c>
      <c r="T362" s="6">
        <v>0</v>
      </c>
      <c r="U362" s="6">
        <v>0</v>
      </c>
      <c r="V362" s="3"/>
      <c r="W362" s="4" t="s">
        <v>1731</v>
      </c>
      <c r="X362" s="7">
        <f>설정!$B$4*H362+설정!$B$5*O362*(1+설정!$B$9*(O362-1))+설정!$B$6*P362*(1+설정!$B$9*(P362-1))+설정!$B$7*Q362*(1+설정!$B$9*(Q362-1))+설정!$B$8*R362*(1+설정!$B$9*(R362-1))</f>
        <v>4857</v>
      </c>
      <c r="Y362" s="7">
        <f>설정!$B$10*(O362*(1+설정!$B$9*(O362-1))+P362*(1+설정!$B$9*(P362-1)))</f>
        <v>30</v>
      </c>
      <c r="Z362" s="7">
        <f t="shared" si="5"/>
        <v>-21.9</v>
      </c>
      <c r="AA362" s="7">
        <f>X362*설정!$B$11</f>
        <v>485.70000000000005</v>
      </c>
      <c r="AB362" s="4" t="s">
        <v>608</v>
      </c>
    </row>
    <row r="363" spans="1:28">
      <c r="A363" s="10" t="s">
        <v>1732</v>
      </c>
      <c r="B363" s="11" t="s">
        <v>1733</v>
      </c>
      <c r="C363" s="11" t="s">
        <v>1723</v>
      </c>
      <c r="D363" s="11" t="s">
        <v>597</v>
      </c>
      <c r="E363" s="11" t="s">
        <v>1734</v>
      </c>
      <c r="F363" s="4" t="s">
        <v>177</v>
      </c>
      <c r="G363" s="4" t="s">
        <v>1316</v>
      </c>
      <c r="H363" s="5">
        <v>31.7</v>
      </c>
      <c r="I363" s="3" t="s">
        <v>1735</v>
      </c>
      <c r="J363" s="3" t="s">
        <v>600</v>
      </c>
      <c r="K363" s="3" t="s">
        <v>140</v>
      </c>
      <c r="L363" s="4" t="s">
        <v>601</v>
      </c>
      <c r="M363" s="3"/>
      <c r="N363" s="3"/>
      <c r="O363" s="6">
        <v>2</v>
      </c>
      <c r="P363" s="6">
        <v>1</v>
      </c>
      <c r="Q363" s="6">
        <v>1</v>
      </c>
      <c r="R363" s="6">
        <v>0</v>
      </c>
      <c r="S363" s="6">
        <v>0</v>
      </c>
      <c r="T363" s="6">
        <v>0</v>
      </c>
      <c r="U363" s="6">
        <v>0</v>
      </c>
      <c r="V363" s="3"/>
      <c r="W363" s="3"/>
      <c r="X363" s="7">
        <f>설정!$B$4*H363+설정!$B$5*O363*(1+설정!$B$9*(O363-1))+설정!$B$6*P363*(1+설정!$B$9*(P363-1))+설정!$B$7*Q363*(1+설정!$B$9*(Q363-1))+설정!$B$8*R363*(1+설정!$B$9*(R363-1))</f>
        <v>2461</v>
      </c>
      <c r="Y363" s="7">
        <f>설정!$B$10*(O363*(1+설정!$B$9*(O363-1))+P363*(1+설정!$B$9*(P363-1)))</f>
        <v>51</v>
      </c>
      <c r="Z363" s="7">
        <f t="shared" si="5"/>
        <v>19.3</v>
      </c>
      <c r="AA363" s="7">
        <f>X363*설정!$B$11</f>
        <v>246.10000000000002</v>
      </c>
      <c r="AB363" s="3"/>
    </row>
    <row r="364" spans="1:28">
      <c r="A364" s="10" t="s">
        <v>1736</v>
      </c>
      <c r="B364" s="11" t="s">
        <v>1737</v>
      </c>
      <c r="C364" s="11" t="s">
        <v>1723</v>
      </c>
      <c r="D364" s="11" t="s">
        <v>597</v>
      </c>
      <c r="E364" s="11" t="s">
        <v>1738</v>
      </c>
      <c r="F364" s="4" t="s">
        <v>177</v>
      </c>
      <c r="G364" s="4" t="s">
        <v>1316</v>
      </c>
      <c r="H364" s="5">
        <v>26.9</v>
      </c>
      <c r="I364" s="3" t="s">
        <v>1739</v>
      </c>
      <c r="J364" s="3" t="s">
        <v>600</v>
      </c>
      <c r="K364" s="3" t="s">
        <v>140</v>
      </c>
      <c r="L364" s="4" t="s">
        <v>601</v>
      </c>
      <c r="M364" s="3"/>
      <c r="N364" s="3"/>
      <c r="O364" s="6">
        <v>2</v>
      </c>
      <c r="P364" s="6">
        <v>1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3"/>
      <c r="W364" s="4" t="s">
        <v>1740</v>
      </c>
      <c r="X364" s="7">
        <f>설정!$B$4*H364+설정!$B$5*O364*(1+설정!$B$9*(O364-1))+설정!$B$6*P364*(1+설정!$B$9*(P364-1))+설정!$B$7*Q364*(1+설정!$B$9*(Q364-1))+설정!$B$8*R364*(1+설정!$B$9*(R364-1))</f>
        <v>1317</v>
      </c>
      <c r="Y364" s="7">
        <f>설정!$B$10*(O364*(1+설정!$B$9*(O364-1))+P364*(1+설정!$B$9*(P364-1)))</f>
        <v>51</v>
      </c>
      <c r="Z364" s="7">
        <f t="shared" si="5"/>
        <v>24.1</v>
      </c>
      <c r="AA364" s="7">
        <f>X364*설정!$B$11</f>
        <v>131.70000000000002</v>
      </c>
      <c r="AB364" s="4" t="s">
        <v>608</v>
      </c>
    </row>
    <row r="365" spans="1:28">
      <c r="A365" s="10" t="s">
        <v>1741</v>
      </c>
      <c r="B365" s="11" t="s">
        <v>1742</v>
      </c>
      <c r="C365" s="11" t="s">
        <v>1723</v>
      </c>
      <c r="D365" s="11" t="s">
        <v>597</v>
      </c>
      <c r="E365" s="11" t="s">
        <v>1743</v>
      </c>
      <c r="F365" s="4" t="s">
        <v>177</v>
      </c>
      <c r="G365" s="4" t="s">
        <v>1316</v>
      </c>
      <c r="H365" s="5">
        <v>24.3</v>
      </c>
      <c r="I365" s="3" t="s">
        <v>1744</v>
      </c>
      <c r="J365" s="3" t="s">
        <v>600</v>
      </c>
      <c r="K365" s="3" t="s">
        <v>140</v>
      </c>
      <c r="L365" s="4" t="s">
        <v>601</v>
      </c>
      <c r="M365" s="3"/>
      <c r="N365" s="3"/>
      <c r="O365" s="6">
        <v>1</v>
      </c>
      <c r="P365" s="6">
        <v>1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3"/>
      <c r="W365" s="4" t="s">
        <v>1745</v>
      </c>
      <c r="X365" s="7">
        <f>설정!$B$4*H365+설정!$B$5*O365*(1+설정!$B$9*(O365-1))+설정!$B$6*P365*(1+설정!$B$9*(P365-1))+설정!$B$7*Q365*(1+설정!$B$9*(Q365-1))+설정!$B$8*R365*(1+설정!$B$9*(R365-1))</f>
        <v>1029</v>
      </c>
      <c r="Y365" s="7">
        <f>설정!$B$10*(O365*(1+설정!$B$9*(O365-1))+P365*(1+설정!$B$9*(P365-1)))</f>
        <v>30</v>
      </c>
      <c r="Z365" s="7">
        <f t="shared" si="5"/>
        <v>5.6999999999999993</v>
      </c>
      <c r="AA365" s="7">
        <f>X365*설정!$B$11</f>
        <v>102.9</v>
      </c>
      <c r="AB365" s="3"/>
    </row>
    <row r="366" spans="1:28">
      <c r="A366" s="10" t="s">
        <v>1746</v>
      </c>
      <c r="B366" s="11" t="s">
        <v>1747</v>
      </c>
      <c r="C366" s="11" t="s">
        <v>1723</v>
      </c>
      <c r="D366" s="11" t="s">
        <v>597</v>
      </c>
      <c r="E366" s="11" t="s">
        <v>1748</v>
      </c>
      <c r="F366" s="4" t="s">
        <v>362</v>
      </c>
      <c r="G366" s="4" t="s">
        <v>1316</v>
      </c>
      <c r="H366" s="5">
        <v>22.9</v>
      </c>
      <c r="I366" s="3" t="s">
        <v>1749</v>
      </c>
      <c r="J366" s="3" t="s">
        <v>600</v>
      </c>
      <c r="K366" s="3" t="s">
        <v>140</v>
      </c>
      <c r="L366" s="4" t="s">
        <v>601</v>
      </c>
      <c r="M366" s="3"/>
      <c r="N366" s="3"/>
      <c r="O366" s="6">
        <v>1</v>
      </c>
      <c r="P366" s="6">
        <v>2</v>
      </c>
      <c r="Q366" s="6">
        <v>1</v>
      </c>
      <c r="R366" s="6">
        <v>1</v>
      </c>
      <c r="S366" s="6">
        <v>0</v>
      </c>
      <c r="T366" s="6">
        <v>0</v>
      </c>
      <c r="U366" s="6">
        <v>0</v>
      </c>
      <c r="V366" s="3"/>
      <c r="W366" s="4" t="s">
        <v>1750</v>
      </c>
      <c r="X366" s="7">
        <f>설정!$B$4*H366+설정!$B$5*O366*(1+설정!$B$9*(O366-1))+설정!$B$6*P366*(1+설정!$B$9*(P366-1))+설정!$B$7*Q366*(1+설정!$B$9*(Q366-1))+설정!$B$8*R366*(1+설정!$B$9*(R366-1))</f>
        <v>2797</v>
      </c>
      <c r="Y366" s="7">
        <f>설정!$B$10*(O366*(1+설정!$B$9*(O366-1))+P366*(1+설정!$B$9*(P366-1)))</f>
        <v>51</v>
      </c>
      <c r="Z366" s="7">
        <f t="shared" si="5"/>
        <v>28.1</v>
      </c>
      <c r="AA366" s="7">
        <f>X366*설정!$B$11</f>
        <v>279.7</v>
      </c>
      <c r="AB366" s="3"/>
    </row>
    <row r="367" spans="1:28">
      <c r="A367" s="10" t="s">
        <v>1751</v>
      </c>
      <c r="B367" s="11" t="s">
        <v>1752</v>
      </c>
      <c r="C367" s="11" t="s">
        <v>1723</v>
      </c>
      <c r="D367" s="11" t="s">
        <v>597</v>
      </c>
      <c r="E367" s="11" t="s">
        <v>1753</v>
      </c>
      <c r="F367" s="4" t="s">
        <v>177</v>
      </c>
      <c r="G367" s="4" t="s">
        <v>1316</v>
      </c>
      <c r="H367" s="5">
        <v>21.4</v>
      </c>
      <c r="I367" s="3" t="s">
        <v>1754</v>
      </c>
      <c r="J367" s="3" t="s">
        <v>600</v>
      </c>
      <c r="K367" s="3" t="s">
        <v>140</v>
      </c>
      <c r="L367" s="4" t="s">
        <v>601</v>
      </c>
      <c r="M367" s="3"/>
      <c r="N367" s="3"/>
      <c r="O367" s="6">
        <v>1</v>
      </c>
      <c r="P367" s="6">
        <v>2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3"/>
      <c r="W367" s="4" t="s">
        <v>1755</v>
      </c>
      <c r="X367" s="7">
        <f>설정!$B$4*H367+설정!$B$5*O367*(1+설정!$B$9*(O367-1))+설정!$B$6*P367*(1+설정!$B$9*(P367-1))+설정!$B$7*Q367*(1+설정!$B$9*(Q367-1))+설정!$B$8*R367*(1+설정!$B$9*(R367-1))</f>
        <v>1152</v>
      </c>
      <c r="Y367" s="7">
        <f>설정!$B$10*(O367*(1+설정!$B$9*(O367-1))+P367*(1+설정!$B$9*(P367-1)))</f>
        <v>51</v>
      </c>
      <c r="Z367" s="7">
        <f t="shared" si="5"/>
        <v>29.6</v>
      </c>
      <c r="AA367" s="7">
        <f>X367*설정!$B$11</f>
        <v>115.2</v>
      </c>
      <c r="AB367" s="3"/>
    </row>
    <row r="368" spans="1:28">
      <c r="A368" s="10" t="s">
        <v>1756</v>
      </c>
      <c r="B368" s="11" t="s">
        <v>1757</v>
      </c>
      <c r="C368" s="11" t="s">
        <v>1723</v>
      </c>
      <c r="D368" s="11" t="s">
        <v>597</v>
      </c>
      <c r="E368" s="11" t="s">
        <v>1758</v>
      </c>
      <c r="F368" s="4" t="s">
        <v>177</v>
      </c>
      <c r="G368" s="4" t="s">
        <v>1316</v>
      </c>
      <c r="H368" s="5">
        <v>20.100000000000001</v>
      </c>
      <c r="I368" s="3" t="s">
        <v>1759</v>
      </c>
      <c r="J368" s="3" t="s">
        <v>600</v>
      </c>
      <c r="K368" s="3" t="s">
        <v>140</v>
      </c>
      <c r="L368" s="4" t="s">
        <v>601</v>
      </c>
      <c r="M368" s="3"/>
      <c r="N368" s="3"/>
      <c r="O368" s="6">
        <v>2</v>
      </c>
      <c r="P368" s="6">
        <v>1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3"/>
      <c r="W368" s="3"/>
      <c r="X368" s="7">
        <f>설정!$B$4*H368+설정!$B$5*O368*(1+설정!$B$9*(O368-1))+설정!$B$6*P368*(1+설정!$B$9*(P368-1))+설정!$B$7*Q368*(1+설정!$B$9*(Q368-1))+설정!$B$8*R368*(1+설정!$B$9*(R368-1))</f>
        <v>1113</v>
      </c>
      <c r="Y368" s="7">
        <f>설정!$B$10*(O368*(1+설정!$B$9*(O368-1))+P368*(1+설정!$B$9*(P368-1)))</f>
        <v>51</v>
      </c>
      <c r="Z368" s="7">
        <f t="shared" si="5"/>
        <v>30.9</v>
      </c>
      <c r="AA368" s="7">
        <f>X368*설정!$B$11</f>
        <v>111.30000000000001</v>
      </c>
      <c r="AB368" s="3"/>
    </row>
    <row r="369" spans="1:28">
      <c r="A369" s="10" t="s">
        <v>1760</v>
      </c>
      <c r="B369" s="11" t="s">
        <v>1761</v>
      </c>
      <c r="C369" s="11" t="s">
        <v>1723</v>
      </c>
      <c r="D369" s="11" t="s">
        <v>597</v>
      </c>
      <c r="E369" s="11" t="s">
        <v>1762</v>
      </c>
      <c r="F369" s="4" t="s">
        <v>177</v>
      </c>
      <c r="G369" s="4" t="s">
        <v>1316</v>
      </c>
      <c r="H369" s="5">
        <v>17.600000000000001</v>
      </c>
      <c r="I369" s="3" t="s">
        <v>1763</v>
      </c>
      <c r="J369" s="3" t="s">
        <v>600</v>
      </c>
      <c r="K369" s="3" t="s">
        <v>140</v>
      </c>
      <c r="L369" s="4" t="s">
        <v>601</v>
      </c>
      <c r="M369" s="3"/>
      <c r="N369" s="3"/>
      <c r="O369" s="6">
        <v>1</v>
      </c>
      <c r="P369" s="6">
        <v>1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3"/>
      <c r="W369" s="4" t="s">
        <v>1764</v>
      </c>
      <c r="X369" s="7">
        <f>설정!$B$4*H369+설정!$B$5*O369*(1+설정!$B$9*(O369-1))+설정!$B$6*P369*(1+설정!$B$9*(P369-1))+설정!$B$7*Q369*(1+설정!$B$9*(Q369-1))+설정!$B$8*R369*(1+설정!$B$9*(R369-1))</f>
        <v>828</v>
      </c>
      <c r="Y369" s="7">
        <f>설정!$B$10*(O369*(1+설정!$B$9*(O369-1))+P369*(1+설정!$B$9*(P369-1)))</f>
        <v>30</v>
      </c>
      <c r="Z369" s="7">
        <f t="shared" si="5"/>
        <v>12.399999999999999</v>
      </c>
      <c r="AA369" s="7">
        <f>X369*설정!$B$11</f>
        <v>82.800000000000011</v>
      </c>
      <c r="AB369" s="4" t="s">
        <v>608</v>
      </c>
    </row>
    <row r="370" spans="1:28">
      <c r="A370" s="10" t="s">
        <v>1765</v>
      </c>
      <c r="B370" s="11" t="s">
        <v>1766</v>
      </c>
      <c r="C370" s="11" t="s">
        <v>1723</v>
      </c>
      <c r="D370" s="11" t="s">
        <v>597</v>
      </c>
      <c r="E370" s="11" t="s">
        <v>1767</v>
      </c>
      <c r="F370" s="4" t="s">
        <v>177</v>
      </c>
      <c r="G370" s="4" t="s">
        <v>1316</v>
      </c>
      <c r="H370" s="5">
        <v>15.7</v>
      </c>
      <c r="I370" s="3" t="s">
        <v>1768</v>
      </c>
      <c r="J370" s="3" t="s">
        <v>600</v>
      </c>
      <c r="K370" s="3" t="s">
        <v>37</v>
      </c>
      <c r="L370" s="3"/>
      <c r="M370" s="3"/>
      <c r="N370" s="3"/>
      <c r="O370" s="6">
        <v>1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1</v>
      </c>
      <c r="V370" s="4" t="s">
        <v>1769</v>
      </c>
      <c r="W370" s="3"/>
      <c r="X370" s="7">
        <f>설정!$B$4*H370+설정!$B$5*O370*(1+설정!$B$9*(O370-1))+설정!$B$6*P370*(1+설정!$B$9*(P370-1))+설정!$B$7*Q370*(1+설정!$B$9*(Q370-1))+설정!$B$8*R370*(1+설정!$B$9*(R370-1))</f>
        <v>621</v>
      </c>
      <c r="Y370" s="7">
        <f>설정!$B$10*(O370*(1+설정!$B$9*(O370-1))+P370*(1+설정!$B$9*(P370-1)))</f>
        <v>15</v>
      </c>
      <c r="Z370" s="7">
        <f t="shared" si="5"/>
        <v>-0.69999999999999929</v>
      </c>
      <c r="AA370" s="7">
        <f>X370*설정!$B$11</f>
        <v>62.1</v>
      </c>
      <c r="AB370" s="3"/>
    </row>
    <row r="371" spans="1:28">
      <c r="A371" s="10" t="s">
        <v>1770</v>
      </c>
      <c r="B371" s="11" t="s">
        <v>1771</v>
      </c>
      <c r="C371" s="11" t="s">
        <v>1723</v>
      </c>
      <c r="D371" s="11" t="s">
        <v>597</v>
      </c>
      <c r="E371" s="11" t="s">
        <v>1772</v>
      </c>
      <c r="F371" s="4" t="s">
        <v>177</v>
      </c>
      <c r="G371" s="4" t="s">
        <v>1316</v>
      </c>
      <c r="H371" s="5">
        <v>15.6</v>
      </c>
      <c r="I371" s="3" t="s">
        <v>1773</v>
      </c>
      <c r="J371" s="3" t="s">
        <v>600</v>
      </c>
      <c r="K371" s="3" t="s">
        <v>37</v>
      </c>
      <c r="L371" s="3"/>
      <c r="M371" s="3"/>
      <c r="N371" s="3"/>
      <c r="O371" s="6">
        <v>1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3"/>
      <c r="W371" s="3"/>
      <c r="X371" s="7">
        <f>설정!$B$4*H371+설정!$B$5*O371*(1+설정!$B$9*(O371-1))+설정!$B$6*P371*(1+설정!$B$9*(P371-1))+설정!$B$7*Q371*(1+설정!$B$9*(Q371-1))+설정!$B$8*R371*(1+설정!$B$9*(R371-1))</f>
        <v>618</v>
      </c>
      <c r="Y371" s="7">
        <f>설정!$B$10*(O371*(1+설정!$B$9*(O371-1))+P371*(1+설정!$B$9*(P371-1)))</f>
        <v>15</v>
      </c>
      <c r="Z371" s="7">
        <f t="shared" si="5"/>
        <v>-0.59999999999999964</v>
      </c>
      <c r="AA371" s="7">
        <f>X371*설정!$B$11</f>
        <v>61.800000000000004</v>
      </c>
      <c r="AB371" s="3"/>
    </row>
    <row r="372" spans="1:28">
      <c r="A372" s="10" t="s">
        <v>1774</v>
      </c>
      <c r="B372" s="11" t="s">
        <v>1775</v>
      </c>
      <c r="C372" s="11" t="s">
        <v>1723</v>
      </c>
      <c r="D372" s="11" t="s">
        <v>597</v>
      </c>
      <c r="E372" s="11" t="s">
        <v>1776</v>
      </c>
      <c r="F372" s="4" t="s">
        <v>177</v>
      </c>
      <c r="G372" s="4" t="s">
        <v>1316</v>
      </c>
      <c r="H372" s="5">
        <v>15.5</v>
      </c>
      <c r="I372" s="3" t="s">
        <v>1777</v>
      </c>
      <c r="J372" s="3" t="s">
        <v>600</v>
      </c>
      <c r="K372" s="3" t="s">
        <v>37</v>
      </c>
      <c r="L372" s="3"/>
      <c r="M372" s="3"/>
      <c r="N372" s="3"/>
      <c r="O372" s="6">
        <v>1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3"/>
      <c r="W372" s="3"/>
      <c r="X372" s="7">
        <f>설정!$B$4*H372+설정!$B$5*O372*(1+설정!$B$9*(O372-1))+설정!$B$6*P372*(1+설정!$B$9*(P372-1))+설정!$B$7*Q372*(1+설정!$B$9*(Q372-1))+설정!$B$8*R372*(1+설정!$B$9*(R372-1))</f>
        <v>615</v>
      </c>
      <c r="Y372" s="7">
        <f>설정!$B$10*(O372*(1+설정!$B$9*(O372-1))+P372*(1+설정!$B$9*(P372-1)))</f>
        <v>15</v>
      </c>
      <c r="Z372" s="7">
        <f t="shared" si="5"/>
        <v>-0.5</v>
      </c>
      <c r="AA372" s="7">
        <f>X372*설정!$B$11</f>
        <v>61.5</v>
      </c>
      <c r="AB372" s="3"/>
    </row>
    <row r="373" spans="1:28">
      <c r="A373" s="10" t="s">
        <v>1778</v>
      </c>
      <c r="B373" s="11" t="s">
        <v>1779</v>
      </c>
      <c r="C373" s="11" t="s">
        <v>1723</v>
      </c>
      <c r="D373" s="11" t="s">
        <v>597</v>
      </c>
      <c r="E373" s="11" t="s">
        <v>1780</v>
      </c>
      <c r="F373" s="4" t="s">
        <v>177</v>
      </c>
      <c r="G373" s="4" t="s">
        <v>1316</v>
      </c>
      <c r="H373" s="5">
        <v>14.6</v>
      </c>
      <c r="I373" s="3" t="s">
        <v>1781</v>
      </c>
      <c r="J373" s="3" t="s">
        <v>600</v>
      </c>
      <c r="K373" s="3" t="s">
        <v>37</v>
      </c>
      <c r="L373" s="3"/>
      <c r="M373" s="3"/>
      <c r="N373" s="3"/>
      <c r="O373" s="6">
        <v>1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3"/>
      <c r="W373" s="3"/>
      <c r="X373" s="7">
        <f>설정!$B$4*H373+설정!$B$5*O373*(1+설정!$B$9*(O373-1))+설정!$B$6*P373*(1+설정!$B$9*(P373-1))+설정!$B$7*Q373*(1+설정!$B$9*(Q373-1))+설정!$B$8*R373*(1+설정!$B$9*(R373-1))</f>
        <v>588</v>
      </c>
      <c r="Y373" s="7">
        <f>설정!$B$10*(O373*(1+설정!$B$9*(O373-1))+P373*(1+설정!$B$9*(P373-1)))</f>
        <v>15</v>
      </c>
      <c r="Z373" s="7">
        <f t="shared" si="5"/>
        <v>0.40000000000000036</v>
      </c>
      <c r="AA373" s="7">
        <f>X373*설정!$B$11</f>
        <v>58.800000000000004</v>
      </c>
      <c r="AB373" s="3"/>
    </row>
    <row r="374" spans="1:28">
      <c r="A374" s="10" t="s">
        <v>1782</v>
      </c>
      <c r="B374" s="11" t="s">
        <v>1783</v>
      </c>
      <c r="C374" s="11" t="s">
        <v>1723</v>
      </c>
      <c r="D374" s="11" t="s">
        <v>597</v>
      </c>
      <c r="E374" s="11" t="s">
        <v>1784</v>
      </c>
      <c r="F374" s="4" t="s">
        <v>177</v>
      </c>
      <c r="G374" s="4" t="s">
        <v>1316</v>
      </c>
      <c r="H374" s="5">
        <v>14.4</v>
      </c>
      <c r="I374" s="3" t="s">
        <v>1785</v>
      </c>
      <c r="J374" s="3" t="s">
        <v>600</v>
      </c>
      <c r="K374" s="3" t="s">
        <v>37</v>
      </c>
      <c r="L374" s="3"/>
      <c r="M374" s="3"/>
      <c r="N374" s="3"/>
      <c r="O374" s="6">
        <v>1</v>
      </c>
      <c r="P374" s="6">
        <v>0</v>
      </c>
      <c r="Q374" s="6">
        <v>1</v>
      </c>
      <c r="R374" s="6">
        <v>0</v>
      </c>
      <c r="S374" s="6">
        <v>0</v>
      </c>
      <c r="T374" s="6">
        <v>1</v>
      </c>
      <c r="U374" s="6">
        <v>0</v>
      </c>
      <c r="V374" s="3"/>
      <c r="W374" s="3"/>
      <c r="X374" s="7">
        <f>설정!$B$4*H374+설정!$B$5*O374*(1+설정!$B$9*(O374-1))+설정!$B$6*P374*(1+설정!$B$9*(P374-1))+설정!$B$7*Q374*(1+설정!$B$9*(Q374-1))+설정!$B$8*R374*(1+설정!$B$9*(R374-1))</f>
        <v>1582</v>
      </c>
      <c r="Y374" s="7">
        <f>설정!$B$10*(O374*(1+설정!$B$9*(O374-1))+P374*(1+설정!$B$9*(P374-1)))</f>
        <v>15</v>
      </c>
      <c r="Z374" s="7">
        <f t="shared" si="5"/>
        <v>0.59999999999999964</v>
      </c>
      <c r="AA374" s="7">
        <f>X374*설정!$B$11</f>
        <v>158.20000000000002</v>
      </c>
      <c r="AB374" s="3"/>
    </row>
    <row r="375" spans="1:28">
      <c r="A375" s="10" t="s">
        <v>1786</v>
      </c>
      <c r="B375" s="11" t="s">
        <v>1787</v>
      </c>
      <c r="C375" s="11" t="s">
        <v>1723</v>
      </c>
      <c r="D375" s="11" t="s">
        <v>597</v>
      </c>
      <c r="E375" s="11" t="s">
        <v>1788</v>
      </c>
      <c r="F375" s="4" t="s">
        <v>177</v>
      </c>
      <c r="G375" s="4" t="s">
        <v>1316</v>
      </c>
      <c r="H375" s="5">
        <v>14.2</v>
      </c>
      <c r="I375" s="3" t="s">
        <v>1789</v>
      </c>
      <c r="J375" s="3" t="s">
        <v>600</v>
      </c>
      <c r="K375" s="3" t="s">
        <v>37</v>
      </c>
      <c r="L375" s="3"/>
      <c r="M375" s="3"/>
      <c r="N375" s="3"/>
      <c r="O375" s="6">
        <v>1</v>
      </c>
      <c r="P375" s="6">
        <v>0</v>
      </c>
      <c r="Q375" s="6">
        <v>1</v>
      </c>
      <c r="R375" s="6">
        <v>0</v>
      </c>
      <c r="S375" s="6">
        <v>0</v>
      </c>
      <c r="T375" s="6">
        <v>2</v>
      </c>
      <c r="U375" s="6">
        <v>0</v>
      </c>
      <c r="V375" s="3"/>
      <c r="W375" s="3"/>
      <c r="X375" s="7">
        <f>설정!$B$4*H375+설정!$B$5*O375*(1+설정!$B$9*(O375-1))+설정!$B$6*P375*(1+설정!$B$9*(P375-1))+설정!$B$7*Q375*(1+설정!$B$9*(Q375-1))+설정!$B$8*R375*(1+설정!$B$9*(R375-1))</f>
        <v>1576</v>
      </c>
      <c r="Y375" s="7">
        <f>설정!$B$10*(O375*(1+설정!$B$9*(O375-1))+P375*(1+설정!$B$9*(P375-1)))</f>
        <v>15</v>
      </c>
      <c r="Z375" s="7">
        <f t="shared" si="5"/>
        <v>0.80000000000000071</v>
      </c>
      <c r="AA375" s="7">
        <f>X375*설정!$B$11</f>
        <v>157.60000000000002</v>
      </c>
      <c r="AB375" s="3"/>
    </row>
    <row r="376" spans="1:28">
      <c r="A376" s="10" t="s">
        <v>1790</v>
      </c>
      <c r="B376" s="11" t="s">
        <v>1791</v>
      </c>
      <c r="C376" s="11" t="s">
        <v>1723</v>
      </c>
      <c r="D376" s="11" t="s">
        <v>597</v>
      </c>
      <c r="E376" s="11" t="s">
        <v>1792</v>
      </c>
      <c r="F376" s="4" t="s">
        <v>177</v>
      </c>
      <c r="G376" s="4" t="s">
        <v>1316</v>
      </c>
      <c r="H376" s="5">
        <v>9.6999999999999993</v>
      </c>
      <c r="I376" s="3" t="s">
        <v>1793</v>
      </c>
      <c r="J376" s="3" t="s">
        <v>600</v>
      </c>
      <c r="K376" s="3" t="s">
        <v>37</v>
      </c>
      <c r="L376" s="3"/>
      <c r="M376" s="3"/>
      <c r="N376" s="3"/>
      <c r="O376" s="6">
        <v>1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1</v>
      </c>
      <c r="V376" s="4" t="s">
        <v>1794</v>
      </c>
      <c r="W376" s="4" t="s">
        <v>1795</v>
      </c>
      <c r="X376" s="7">
        <f>설정!$B$4*H376+설정!$B$5*O376*(1+설정!$B$9*(O376-1))+설정!$B$6*P376*(1+설정!$B$9*(P376-1))+설정!$B$7*Q376*(1+설정!$B$9*(Q376-1))+설정!$B$8*R376*(1+설정!$B$9*(R376-1))</f>
        <v>441</v>
      </c>
      <c r="Y376" s="7">
        <f>설정!$B$10*(O376*(1+설정!$B$9*(O376-1))+P376*(1+설정!$B$9*(P376-1)))</f>
        <v>15</v>
      </c>
      <c r="Z376" s="7">
        <f t="shared" si="5"/>
        <v>5.3000000000000007</v>
      </c>
      <c r="AA376" s="7">
        <f>X376*설정!$B$11</f>
        <v>44.1</v>
      </c>
      <c r="AB376" s="4" t="s">
        <v>608</v>
      </c>
    </row>
    <row r="377" spans="1:28">
      <c r="A377" s="10" t="s">
        <v>1796</v>
      </c>
      <c r="B377" s="11" t="s">
        <v>1797</v>
      </c>
      <c r="C377" s="11" t="s">
        <v>1723</v>
      </c>
      <c r="D377" s="11" t="s">
        <v>597</v>
      </c>
      <c r="E377" s="11" t="s">
        <v>1798</v>
      </c>
      <c r="F377" s="4" t="s">
        <v>177</v>
      </c>
      <c r="G377" s="4" t="s">
        <v>1316</v>
      </c>
      <c r="H377" s="5">
        <v>9.1</v>
      </c>
      <c r="I377" s="3" t="s">
        <v>1799</v>
      </c>
      <c r="J377" s="3" t="s">
        <v>600</v>
      </c>
      <c r="K377" s="3" t="s">
        <v>37</v>
      </c>
      <c r="L377" s="3"/>
      <c r="M377" s="3"/>
      <c r="N377" s="3"/>
      <c r="O377" s="6">
        <v>1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3"/>
      <c r="W377" s="3"/>
      <c r="X377" s="7">
        <f>설정!$B$4*H377+설정!$B$5*O377*(1+설정!$B$9*(O377-1))+설정!$B$6*P377*(1+설정!$B$9*(P377-1))+설정!$B$7*Q377*(1+설정!$B$9*(Q377-1))+설정!$B$8*R377*(1+설정!$B$9*(R377-1))</f>
        <v>423</v>
      </c>
      <c r="Y377" s="7">
        <f>설정!$B$10*(O377*(1+설정!$B$9*(O377-1))+P377*(1+설정!$B$9*(P377-1)))</f>
        <v>15</v>
      </c>
      <c r="Z377" s="7">
        <f t="shared" si="5"/>
        <v>5.9</v>
      </c>
      <c r="AA377" s="7">
        <f>X377*설정!$B$11</f>
        <v>42.300000000000004</v>
      </c>
      <c r="AB377" s="3"/>
    </row>
    <row r="378" spans="1:28">
      <c r="A378" s="10" t="s">
        <v>1800</v>
      </c>
      <c r="B378" s="11" t="s">
        <v>1801</v>
      </c>
      <c r="C378" s="11" t="s">
        <v>1723</v>
      </c>
      <c r="D378" s="11" t="s">
        <v>597</v>
      </c>
      <c r="E378" s="11" t="s">
        <v>1802</v>
      </c>
      <c r="F378" s="4" t="s">
        <v>177</v>
      </c>
      <c r="G378" s="4" t="s">
        <v>1316</v>
      </c>
      <c r="H378" s="5">
        <v>7.3</v>
      </c>
      <c r="I378" s="3" t="s">
        <v>1803</v>
      </c>
      <c r="J378" s="3" t="s">
        <v>600</v>
      </c>
      <c r="K378" s="3" t="s">
        <v>37</v>
      </c>
      <c r="L378" s="3"/>
      <c r="M378" s="3"/>
      <c r="N378" s="3"/>
      <c r="O378" s="6">
        <v>1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1</v>
      </c>
      <c r="V378" s="4" t="s">
        <v>1804</v>
      </c>
      <c r="W378" s="3"/>
      <c r="X378" s="7">
        <f>설정!$B$4*H378+설정!$B$5*O378*(1+설정!$B$9*(O378-1))+설정!$B$6*P378*(1+설정!$B$9*(P378-1))+설정!$B$7*Q378*(1+설정!$B$9*(Q378-1))+설정!$B$8*R378*(1+설정!$B$9*(R378-1))</f>
        <v>369</v>
      </c>
      <c r="Y378" s="7">
        <f>설정!$B$10*(O378*(1+설정!$B$9*(O378-1))+P378*(1+설정!$B$9*(P378-1)))</f>
        <v>15</v>
      </c>
      <c r="Z378" s="7">
        <f t="shared" si="5"/>
        <v>7.7</v>
      </c>
      <c r="AA378" s="7">
        <f>X378*설정!$B$11</f>
        <v>36.9</v>
      </c>
      <c r="AB378" s="3"/>
    </row>
    <row r="379" spans="1:28">
      <c r="A379" s="10" t="s">
        <v>1805</v>
      </c>
      <c r="B379" s="11" t="s">
        <v>1806</v>
      </c>
      <c r="C379" s="11" t="s">
        <v>1723</v>
      </c>
      <c r="D379" s="11" t="s">
        <v>597</v>
      </c>
      <c r="E379" s="11" t="s">
        <v>1807</v>
      </c>
      <c r="F379" s="4" t="s">
        <v>177</v>
      </c>
      <c r="G379" s="4" t="s">
        <v>1316</v>
      </c>
      <c r="H379" s="5">
        <v>6.1</v>
      </c>
      <c r="I379" s="3" t="s">
        <v>1808</v>
      </c>
      <c r="J379" s="3" t="s">
        <v>600</v>
      </c>
      <c r="K379" s="3" t="s">
        <v>37</v>
      </c>
      <c r="L379" s="3"/>
      <c r="M379" s="3"/>
      <c r="N379" s="3"/>
      <c r="O379" s="6">
        <v>1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3"/>
      <c r="W379" s="4" t="s">
        <v>1809</v>
      </c>
      <c r="X379" s="7">
        <f>설정!$B$4*H379+설정!$B$5*O379*(1+설정!$B$9*(O379-1))+설정!$B$6*P379*(1+설정!$B$9*(P379-1))+설정!$B$7*Q379*(1+설정!$B$9*(Q379-1))+설정!$B$8*R379*(1+설정!$B$9*(R379-1))</f>
        <v>333</v>
      </c>
      <c r="Y379" s="7">
        <f>설정!$B$10*(O379*(1+설정!$B$9*(O379-1))+P379*(1+설정!$B$9*(P379-1)))</f>
        <v>15</v>
      </c>
      <c r="Z379" s="7">
        <f t="shared" si="5"/>
        <v>8.9</v>
      </c>
      <c r="AA379" s="7">
        <f>X379*설정!$B$11</f>
        <v>33.300000000000004</v>
      </c>
      <c r="AB379" s="4" t="s">
        <v>608</v>
      </c>
    </row>
    <row r="380" spans="1:28">
      <c r="A380" s="10" t="s">
        <v>1810</v>
      </c>
      <c r="B380" s="11" t="s">
        <v>1811</v>
      </c>
      <c r="C380" s="11" t="s">
        <v>1723</v>
      </c>
      <c r="D380" s="11" t="s">
        <v>597</v>
      </c>
      <c r="E380" s="11" t="s">
        <v>1812</v>
      </c>
      <c r="F380" s="4" t="s">
        <v>177</v>
      </c>
      <c r="G380" s="4" t="s">
        <v>1316</v>
      </c>
      <c r="H380" s="5">
        <v>5.6</v>
      </c>
      <c r="I380" s="3" t="s">
        <v>1813</v>
      </c>
      <c r="J380" s="3" t="s">
        <v>600</v>
      </c>
      <c r="K380" s="3" t="s">
        <v>37</v>
      </c>
      <c r="L380" s="3"/>
      <c r="M380" s="3"/>
      <c r="N380" s="3"/>
      <c r="O380" s="6">
        <v>1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3"/>
      <c r="W380" s="3"/>
      <c r="X380" s="7">
        <f>설정!$B$4*H380+설정!$B$5*O380*(1+설정!$B$9*(O380-1))+설정!$B$6*P380*(1+설정!$B$9*(P380-1))+설정!$B$7*Q380*(1+설정!$B$9*(Q380-1))+설정!$B$8*R380*(1+설정!$B$9*(R380-1))</f>
        <v>318</v>
      </c>
      <c r="Y380" s="7">
        <f>설정!$B$10*(O380*(1+설정!$B$9*(O380-1))+P380*(1+설정!$B$9*(P380-1)))</f>
        <v>15</v>
      </c>
      <c r="Z380" s="7">
        <f t="shared" si="5"/>
        <v>9.4</v>
      </c>
      <c r="AA380" s="7">
        <f>X380*설정!$B$11</f>
        <v>31.8</v>
      </c>
      <c r="AB380" s="3"/>
    </row>
    <row r="381" spans="1:28">
      <c r="A381" s="10" t="s">
        <v>1814</v>
      </c>
      <c r="B381" s="11" t="s">
        <v>1815</v>
      </c>
      <c r="C381" s="11" t="s">
        <v>1816</v>
      </c>
      <c r="D381" s="11" t="s">
        <v>597</v>
      </c>
      <c r="E381" s="11" t="s">
        <v>1817</v>
      </c>
      <c r="F381" s="4" t="s">
        <v>362</v>
      </c>
      <c r="G381" s="4" t="s">
        <v>1316</v>
      </c>
      <c r="H381" s="5">
        <v>100.2</v>
      </c>
      <c r="I381" s="3" t="s">
        <v>1818</v>
      </c>
      <c r="J381" s="3" t="s">
        <v>600</v>
      </c>
      <c r="K381" s="3" t="s">
        <v>140</v>
      </c>
      <c r="L381" s="4" t="s">
        <v>601</v>
      </c>
      <c r="M381" s="3"/>
      <c r="N381" s="3"/>
      <c r="O381" s="6">
        <v>0</v>
      </c>
      <c r="P381" s="6">
        <v>2</v>
      </c>
      <c r="Q381" s="6">
        <v>2</v>
      </c>
      <c r="R381" s="6">
        <v>2</v>
      </c>
      <c r="S381" s="6">
        <v>0</v>
      </c>
      <c r="T381" s="6">
        <v>0</v>
      </c>
      <c r="U381" s="6">
        <v>0</v>
      </c>
      <c r="V381" s="4" t="s">
        <v>1819</v>
      </c>
      <c r="W381" s="4" t="s">
        <v>1820</v>
      </c>
      <c r="X381" s="7">
        <f>설정!$B$4*H381+설정!$B$5*O381*(1+설정!$B$9*(O381-1))+설정!$B$6*P381*(1+설정!$B$9*(P381-1))+설정!$B$7*Q381*(1+설정!$B$9*(Q381-1))+설정!$B$8*R381*(1+설정!$B$9*(R381-1))</f>
        <v>7206</v>
      </c>
      <c r="Y381" s="7">
        <f>설정!$B$10*(O381*(1+설정!$B$9*(O381-1))+P381*(1+설정!$B$9*(P381-1)))</f>
        <v>36</v>
      </c>
      <c r="Z381" s="7">
        <f t="shared" si="5"/>
        <v>-64.2</v>
      </c>
      <c r="AA381" s="7">
        <f>X381*설정!$B$11</f>
        <v>720.6</v>
      </c>
      <c r="AB381" s="4" t="s">
        <v>608</v>
      </c>
    </row>
    <row r="382" spans="1:28">
      <c r="A382" s="10" t="s">
        <v>1821</v>
      </c>
      <c r="B382" s="11" t="s">
        <v>1822</v>
      </c>
      <c r="C382" s="11" t="s">
        <v>1816</v>
      </c>
      <c r="D382" s="11" t="s">
        <v>597</v>
      </c>
      <c r="E382" s="11" t="s">
        <v>1823</v>
      </c>
      <c r="F382" s="4" t="s">
        <v>362</v>
      </c>
      <c r="G382" s="4" t="s">
        <v>1316</v>
      </c>
      <c r="H382" s="5">
        <v>31.1</v>
      </c>
      <c r="I382" s="3" t="s">
        <v>1824</v>
      </c>
      <c r="J382" s="3" t="s">
        <v>600</v>
      </c>
      <c r="K382" s="3" t="s">
        <v>140</v>
      </c>
      <c r="L382" s="4" t="s">
        <v>601</v>
      </c>
      <c r="M382" s="3"/>
      <c r="N382" s="3"/>
      <c r="O382" s="6">
        <v>1</v>
      </c>
      <c r="P382" s="6">
        <v>2</v>
      </c>
      <c r="Q382" s="6">
        <v>2</v>
      </c>
      <c r="R382" s="6">
        <v>1</v>
      </c>
      <c r="S382" s="6">
        <v>0</v>
      </c>
      <c r="T382" s="6">
        <v>0</v>
      </c>
      <c r="U382" s="6">
        <v>0</v>
      </c>
      <c r="V382" s="3"/>
      <c r="W382" s="4" t="s">
        <v>1825</v>
      </c>
      <c r="X382" s="7">
        <f>설정!$B$4*H382+설정!$B$5*O382*(1+설정!$B$9*(O382-1))+설정!$B$6*P382*(1+설정!$B$9*(P382-1))+설정!$B$7*Q382*(1+설정!$B$9*(Q382-1))+설정!$B$8*R382*(1+설정!$B$9*(R382-1))</f>
        <v>4443</v>
      </c>
      <c r="Y382" s="7">
        <f>설정!$B$10*(O382*(1+설정!$B$9*(O382-1))+P382*(1+설정!$B$9*(P382-1)))</f>
        <v>51</v>
      </c>
      <c r="Z382" s="7">
        <f t="shared" si="5"/>
        <v>19.899999999999999</v>
      </c>
      <c r="AA382" s="7">
        <f>X382*설정!$B$11</f>
        <v>444.3</v>
      </c>
      <c r="AB382" s="3"/>
    </row>
    <row r="383" spans="1:28">
      <c r="A383" s="10" t="s">
        <v>1826</v>
      </c>
      <c r="B383" s="11" t="s">
        <v>1827</v>
      </c>
      <c r="C383" s="11" t="s">
        <v>1816</v>
      </c>
      <c r="D383" s="11" t="s">
        <v>597</v>
      </c>
      <c r="E383" s="11" t="s">
        <v>1828</v>
      </c>
      <c r="F383" s="4" t="s">
        <v>362</v>
      </c>
      <c r="G383" s="4" t="s">
        <v>1316</v>
      </c>
      <c r="H383" s="5">
        <v>23</v>
      </c>
      <c r="I383" s="3" t="s">
        <v>1829</v>
      </c>
      <c r="J383" s="3" t="s">
        <v>600</v>
      </c>
      <c r="K383" s="3" t="s">
        <v>37</v>
      </c>
      <c r="L383" s="3"/>
      <c r="M383" s="3"/>
      <c r="N383" s="3"/>
      <c r="O383" s="6">
        <v>1</v>
      </c>
      <c r="P383" s="6">
        <v>0</v>
      </c>
      <c r="Q383" s="6">
        <v>1</v>
      </c>
      <c r="R383" s="6">
        <v>1</v>
      </c>
      <c r="S383" s="6">
        <v>0</v>
      </c>
      <c r="T383" s="6">
        <v>1</v>
      </c>
      <c r="U383" s="6">
        <v>0</v>
      </c>
      <c r="V383" s="3"/>
      <c r="W383" s="4" t="s">
        <v>1830</v>
      </c>
      <c r="X383" s="7">
        <f>설정!$B$4*H383+설정!$B$5*O383*(1+설정!$B$9*(O383-1))+설정!$B$6*P383*(1+설정!$B$9*(P383-1))+설정!$B$7*Q383*(1+설정!$B$9*(Q383-1))+설정!$B$8*R383*(1+설정!$B$9*(R383-1))</f>
        <v>2440</v>
      </c>
      <c r="Y383" s="7">
        <f>설정!$B$10*(O383*(1+설정!$B$9*(O383-1))+P383*(1+설정!$B$9*(P383-1)))</f>
        <v>15</v>
      </c>
      <c r="Z383" s="7">
        <f t="shared" si="5"/>
        <v>-8</v>
      </c>
      <c r="AA383" s="7">
        <f>X383*설정!$B$11</f>
        <v>244</v>
      </c>
      <c r="AB383" s="3"/>
    </row>
    <row r="384" spans="1:28">
      <c r="A384" s="10" t="s">
        <v>1831</v>
      </c>
      <c r="B384" s="11" t="s">
        <v>1832</v>
      </c>
      <c r="C384" s="11" t="s">
        <v>1816</v>
      </c>
      <c r="D384" s="11" t="s">
        <v>597</v>
      </c>
      <c r="E384" s="11" t="s">
        <v>1833</v>
      </c>
      <c r="F384" s="4" t="s">
        <v>177</v>
      </c>
      <c r="G384" s="4" t="s">
        <v>1316</v>
      </c>
      <c r="H384" s="5">
        <v>21</v>
      </c>
      <c r="I384" s="3" t="s">
        <v>1834</v>
      </c>
      <c r="J384" s="3" t="s">
        <v>600</v>
      </c>
      <c r="K384" s="3" t="s">
        <v>37</v>
      </c>
      <c r="L384" s="3"/>
      <c r="M384" s="3"/>
      <c r="N384" s="3"/>
      <c r="O384" s="6">
        <v>1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3"/>
      <c r="W384" s="3"/>
      <c r="X384" s="7">
        <f>설정!$B$4*H384+설정!$B$5*O384*(1+설정!$B$9*(O384-1))+설정!$B$6*P384*(1+설정!$B$9*(P384-1))+설정!$B$7*Q384*(1+설정!$B$9*(Q384-1))+설정!$B$8*R384*(1+설정!$B$9*(R384-1))</f>
        <v>780</v>
      </c>
      <c r="Y384" s="7">
        <f>설정!$B$10*(O384*(1+설정!$B$9*(O384-1))+P384*(1+설정!$B$9*(P384-1)))</f>
        <v>15</v>
      </c>
      <c r="Z384" s="7">
        <f t="shared" si="5"/>
        <v>-6</v>
      </c>
      <c r="AA384" s="7">
        <f>X384*설정!$B$11</f>
        <v>78</v>
      </c>
      <c r="AB384" s="3"/>
    </row>
    <row r="385" spans="1:28">
      <c r="A385" s="10" t="s">
        <v>1835</v>
      </c>
      <c r="B385" s="11" t="s">
        <v>1836</v>
      </c>
      <c r="C385" s="11" t="s">
        <v>1816</v>
      </c>
      <c r="D385" s="11" t="s">
        <v>597</v>
      </c>
      <c r="E385" s="11" t="s">
        <v>1837</v>
      </c>
      <c r="F385" s="4" t="s">
        <v>177</v>
      </c>
      <c r="G385" s="4" t="s">
        <v>1316</v>
      </c>
      <c r="H385" s="5">
        <v>19.2</v>
      </c>
      <c r="I385" s="3" t="s">
        <v>1838</v>
      </c>
      <c r="J385" s="3" t="s">
        <v>600</v>
      </c>
      <c r="K385" s="3" t="s">
        <v>37</v>
      </c>
      <c r="L385" s="3"/>
      <c r="M385" s="3"/>
      <c r="N385" s="3"/>
      <c r="O385" s="6">
        <v>1</v>
      </c>
      <c r="P385" s="6">
        <v>0</v>
      </c>
      <c r="Q385" s="6">
        <v>1</v>
      </c>
      <c r="R385" s="6">
        <v>0</v>
      </c>
      <c r="S385" s="6">
        <v>0</v>
      </c>
      <c r="T385" s="6">
        <v>2</v>
      </c>
      <c r="U385" s="6">
        <v>0</v>
      </c>
      <c r="V385" s="3"/>
      <c r="W385" s="3"/>
      <c r="X385" s="7">
        <f>설정!$B$4*H385+설정!$B$5*O385*(1+설정!$B$9*(O385-1))+설정!$B$6*P385*(1+설정!$B$9*(P385-1))+설정!$B$7*Q385*(1+설정!$B$9*(Q385-1))+설정!$B$8*R385*(1+설정!$B$9*(R385-1))</f>
        <v>1726</v>
      </c>
      <c r="Y385" s="7">
        <f>설정!$B$10*(O385*(1+설정!$B$9*(O385-1))+P385*(1+설정!$B$9*(P385-1)))</f>
        <v>15</v>
      </c>
      <c r="Z385" s="7">
        <f t="shared" si="5"/>
        <v>-4.1999999999999993</v>
      </c>
      <c r="AA385" s="7">
        <f>X385*설정!$B$11</f>
        <v>172.60000000000002</v>
      </c>
      <c r="AB385" s="3"/>
    </row>
    <row r="386" spans="1:28">
      <c r="A386" s="10" t="s">
        <v>1839</v>
      </c>
      <c r="B386" s="11" t="s">
        <v>1840</v>
      </c>
      <c r="C386" s="11" t="s">
        <v>1816</v>
      </c>
      <c r="D386" s="11" t="s">
        <v>597</v>
      </c>
      <c r="E386" s="11" t="s">
        <v>1841</v>
      </c>
      <c r="F386" s="4" t="s">
        <v>177</v>
      </c>
      <c r="G386" s="4" t="s">
        <v>1316</v>
      </c>
      <c r="H386" s="5">
        <v>18.600000000000001</v>
      </c>
      <c r="I386" s="3" t="s">
        <v>1842</v>
      </c>
      <c r="J386" s="3" t="s">
        <v>600</v>
      </c>
      <c r="K386" s="3" t="s">
        <v>37</v>
      </c>
      <c r="L386" s="3"/>
      <c r="M386" s="3"/>
      <c r="N386" s="3"/>
      <c r="O386" s="6">
        <v>1</v>
      </c>
      <c r="P386" s="6">
        <v>0</v>
      </c>
      <c r="Q386" s="6">
        <v>1</v>
      </c>
      <c r="R386" s="6">
        <v>0</v>
      </c>
      <c r="S386" s="6">
        <v>0</v>
      </c>
      <c r="T386" s="6">
        <v>0</v>
      </c>
      <c r="U386" s="6">
        <v>0</v>
      </c>
      <c r="V386" s="3"/>
      <c r="W386" s="4" t="s">
        <v>1843</v>
      </c>
      <c r="X386" s="7">
        <f>설정!$B$4*H386+설정!$B$5*O386*(1+설정!$B$9*(O386-1))+설정!$B$6*P386*(1+설정!$B$9*(P386-1))+설정!$B$7*Q386*(1+설정!$B$9*(Q386-1))+설정!$B$8*R386*(1+설정!$B$9*(R386-1))</f>
        <v>1708</v>
      </c>
      <c r="Y386" s="7">
        <f>설정!$B$10*(O386*(1+설정!$B$9*(O386-1))+P386*(1+설정!$B$9*(P386-1)))</f>
        <v>15</v>
      </c>
      <c r="Z386" s="7">
        <f t="shared" ref="Z386:Z449" si="6">Y386-H386</f>
        <v>-3.6000000000000014</v>
      </c>
      <c r="AA386" s="7">
        <f>X386*설정!$B$11</f>
        <v>170.8</v>
      </c>
      <c r="AB386" s="4" t="s">
        <v>608</v>
      </c>
    </row>
    <row r="387" spans="1:28">
      <c r="A387" s="10" t="s">
        <v>1844</v>
      </c>
      <c r="B387" s="11" t="s">
        <v>1845</v>
      </c>
      <c r="C387" s="11" t="s">
        <v>1816</v>
      </c>
      <c r="D387" s="11" t="s">
        <v>597</v>
      </c>
      <c r="E387" s="11" t="s">
        <v>1846</v>
      </c>
      <c r="F387" s="4" t="s">
        <v>177</v>
      </c>
      <c r="G387" s="4" t="s">
        <v>1316</v>
      </c>
      <c r="H387" s="5">
        <v>16.100000000000001</v>
      </c>
      <c r="I387" s="3" t="s">
        <v>1847</v>
      </c>
      <c r="J387" s="3" t="s">
        <v>600</v>
      </c>
      <c r="K387" s="3" t="s">
        <v>37</v>
      </c>
      <c r="L387" s="3"/>
      <c r="M387" s="3"/>
      <c r="N387" s="3"/>
      <c r="O387" s="6">
        <v>1</v>
      </c>
      <c r="P387" s="6">
        <v>0</v>
      </c>
      <c r="Q387" s="6">
        <v>0</v>
      </c>
      <c r="R387" s="6">
        <v>0</v>
      </c>
      <c r="S387" s="6">
        <v>0</v>
      </c>
      <c r="T387" s="6">
        <v>1</v>
      </c>
      <c r="U387" s="6">
        <v>0</v>
      </c>
      <c r="V387" s="3"/>
      <c r="W387" s="3"/>
      <c r="X387" s="7">
        <f>설정!$B$4*H387+설정!$B$5*O387*(1+설정!$B$9*(O387-1))+설정!$B$6*P387*(1+설정!$B$9*(P387-1))+설정!$B$7*Q387*(1+설정!$B$9*(Q387-1))+설정!$B$8*R387*(1+설정!$B$9*(R387-1))</f>
        <v>633</v>
      </c>
      <c r="Y387" s="7">
        <f>설정!$B$10*(O387*(1+설정!$B$9*(O387-1))+P387*(1+설정!$B$9*(P387-1)))</f>
        <v>15</v>
      </c>
      <c r="Z387" s="7">
        <f t="shared" si="6"/>
        <v>-1.1000000000000014</v>
      </c>
      <c r="AA387" s="7">
        <f>X387*설정!$B$11</f>
        <v>63.300000000000004</v>
      </c>
      <c r="AB387" s="3"/>
    </row>
    <row r="388" spans="1:28">
      <c r="A388" s="10" t="s">
        <v>1848</v>
      </c>
      <c r="B388" s="11" t="s">
        <v>1849</v>
      </c>
      <c r="C388" s="11" t="s">
        <v>1816</v>
      </c>
      <c r="D388" s="11" t="s">
        <v>597</v>
      </c>
      <c r="E388" s="11" t="s">
        <v>1850</v>
      </c>
      <c r="F388" s="4" t="s">
        <v>177</v>
      </c>
      <c r="G388" s="4" t="s">
        <v>1316</v>
      </c>
      <c r="H388" s="5">
        <v>15.9</v>
      </c>
      <c r="I388" s="3" t="s">
        <v>1851</v>
      </c>
      <c r="J388" s="3" t="s">
        <v>600</v>
      </c>
      <c r="K388" s="3" t="s">
        <v>140</v>
      </c>
      <c r="L388" s="4" t="s">
        <v>601</v>
      </c>
      <c r="M388" s="3"/>
      <c r="N388" s="3"/>
      <c r="O388" s="6">
        <v>1</v>
      </c>
      <c r="P388" s="6">
        <v>1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3"/>
      <c r="W388" s="4" t="s">
        <v>1852</v>
      </c>
      <c r="X388" s="7">
        <f>설정!$B$4*H388+설정!$B$5*O388*(1+설정!$B$9*(O388-1))+설정!$B$6*P388*(1+설정!$B$9*(P388-1))+설정!$B$7*Q388*(1+설정!$B$9*(Q388-1))+설정!$B$8*R388*(1+설정!$B$9*(R388-1))</f>
        <v>777</v>
      </c>
      <c r="Y388" s="7">
        <f>설정!$B$10*(O388*(1+설정!$B$9*(O388-1))+P388*(1+설정!$B$9*(P388-1)))</f>
        <v>30</v>
      </c>
      <c r="Z388" s="7">
        <f t="shared" si="6"/>
        <v>14.1</v>
      </c>
      <c r="AA388" s="7">
        <f>X388*설정!$B$11</f>
        <v>77.7</v>
      </c>
      <c r="AB388" s="4" t="s">
        <v>608</v>
      </c>
    </row>
    <row r="389" spans="1:28">
      <c r="A389" s="10" t="s">
        <v>1853</v>
      </c>
      <c r="B389" s="11" t="s">
        <v>1854</v>
      </c>
      <c r="C389" s="11" t="s">
        <v>1816</v>
      </c>
      <c r="D389" s="11" t="s">
        <v>597</v>
      </c>
      <c r="E389" s="11" t="s">
        <v>1855</v>
      </c>
      <c r="F389" s="4" t="s">
        <v>177</v>
      </c>
      <c r="G389" s="4" t="s">
        <v>1316</v>
      </c>
      <c r="H389" s="5">
        <v>14.9</v>
      </c>
      <c r="I389" s="3" t="s">
        <v>1856</v>
      </c>
      <c r="J389" s="3" t="s">
        <v>600</v>
      </c>
      <c r="K389" s="3" t="s">
        <v>37</v>
      </c>
      <c r="L389" s="3"/>
      <c r="M389" s="3"/>
      <c r="N389" s="3"/>
      <c r="O389" s="6">
        <v>1</v>
      </c>
      <c r="P389" s="6">
        <v>0</v>
      </c>
      <c r="Q389" s="6">
        <v>0</v>
      </c>
      <c r="R389" s="6">
        <v>0</v>
      </c>
      <c r="S389" s="6">
        <v>0</v>
      </c>
      <c r="T389" s="6">
        <v>1</v>
      </c>
      <c r="U389" s="6">
        <v>0</v>
      </c>
      <c r="V389" s="3"/>
      <c r="W389" s="3"/>
      <c r="X389" s="7">
        <f>설정!$B$4*H389+설정!$B$5*O389*(1+설정!$B$9*(O389-1))+설정!$B$6*P389*(1+설정!$B$9*(P389-1))+설정!$B$7*Q389*(1+설정!$B$9*(Q389-1))+설정!$B$8*R389*(1+설정!$B$9*(R389-1))</f>
        <v>597</v>
      </c>
      <c r="Y389" s="7">
        <f>설정!$B$10*(O389*(1+설정!$B$9*(O389-1))+P389*(1+설정!$B$9*(P389-1)))</f>
        <v>15</v>
      </c>
      <c r="Z389" s="7">
        <f t="shared" si="6"/>
        <v>9.9999999999999645E-2</v>
      </c>
      <c r="AA389" s="7">
        <f>X389*설정!$B$11</f>
        <v>59.7</v>
      </c>
      <c r="AB389" s="3"/>
    </row>
    <row r="390" spans="1:28">
      <c r="A390" s="10" t="s">
        <v>1857</v>
      </c>
      <c r="B390" s="11" t="s">
        <v>1858</v>
      </c>
      <c r="C390" s="11" t="s">
        <v>1816</v>
      </c>
      <c r="D390" s="11" t="s">
        <v>597</v>
      </c>
      <c r="E390" s="11" t="s">
        <v>1859</v>
      </c>
      <c r="F390" s="4" t="s">
        <v>177</v>
      </c>
      <c r="G390" s="4" t="s">
        <v>1316</v>
      </c>
      <c r="H390" s="5">
        <v>13.4</v>
      </c>
      <c r="I390" s="3" t="s">
        <v>1860</v>
      </c>
      <c r="J390" s="3" t="s">
        <v>600</v>
      </c>
      <c r="K390" s="3" t="s">
        <v>37</v>
      </c>
      <c r="L390" s="3"/>
      <c r="M390" s="3"/>
      <c r="N390" s="3"/>
      <c r="O390" s="6">
        <v>1</v>
      </c>
      <c r="P390" s="6">
        <v>0</v>
      </c>
      <c r="Q390" s="6">
        <v>1</v>
      </c>
      <c r="R390" s="6">
        <v>0</v>
      </c>
      <c r="S390" s="6">
        <v>0</v>
      </c>
      <c r="T390" s="6">
        <v>2</v>
      </c>
      <c r="U390" s="6">
        <v>0</v>
      </c>
      <c r="V390" s="3"/>
      <c r="W390" s="3"/>
      <c r="X390" s="7">
        <f>설정!$B$4*H390+설정!$B$5*O390*(1+설정!$B$9*(O390-1))+설정!$B$6*P390*(1+설정!$B$9*(P390-1))+설정!$B$7*Q390*(1+설정!$B$9*(Q390-1))+설정!$B$8*R390*(1+설정!$B$9*(R390-1))</f>
        <v>1552</v>
      </c>
      <c r="Y390" s="7">
        <f>설정!$B$10*(O390*(1+설정!$B$9*(O390-1))+P390*(1+설정!$B$9*(P390-1)))</f>
        <v>15</v>
      </c>
      <c r="Z390" s="7">
        <f t="shared" si="6"/>
        <v>1.5999999999999996</v>
      </c>
      <c r="AA390" s="7">
        <f>X390*설정!$B$11</f>
        <v>155.20000000000002</v>
      </c>
      <c r="AB390" s="3"/>
    </row>
    <row r="391" spans="1:28">
      <c r="A391" s="10" t="s">
        <v>1861</v>
      </c>
      <c r="B391" s="11" t="s">
        <v>1862</v>
      </c>
      <c r="C391" s="11" t="s">
        <v>1816</v>
      </c>
      <c r="D391" s="11" t="s">
        <v>597</v>
      </c>
      <c r="E391" s="11" t="s">
        <v>1863</v>
      </c>
      <c r="F391" s="4" t="s">
        <v>177</v>
      </c>
      <c r="G391" s="4" t="s">
        <v>1316</v>
      </c>
      <c r="H391" s="5">
        <v>13.2</v>
      </c>
      <c r="I391" s="3" t="s">
        <v>1864</v>
      </c>
      <c r="J391" s="3" t="s">
        <v>600</v>
      </c>
      <c r="K391" s="3" t="s">
        <v>140</v>
      </c>
      <c r="L391" s="4" t="s">
        <v>601</v>
      </c>
      <c r="M391" s="3"/>
      <c r="N391" s="3"/>
      <c r="O391" s="6">
        <v>1</v>
      </c>
      <c r="P391" s="6">
        <v>1</v>
      </c>
      <c r="Q391" s="6">
        <v>0</v>
      </c>
      <c r="R391" s="6">
        <v>0</v>
      </c>
      <c r="S391" s="6">
        <v>0</v>
      </c>
      <c r="T391" s="6">
        <v>0</v>
      </c>
      <c r="U391" s="6">
        <v>1</v>
      </c>
      <c r="V391" s="4" t="s">
        <v>1865</v>
      </c>
      <c r="W391" s="3"/>
      <c r="X391" s="7">
        <f>설정!$B$4*H391+설정!$B$5*O391*(1+설정!$B$9*(O391-1))+설정!$B$6*P391*(1+설정!$B$9*(P391-1))+설정!$B$7*Q391*(1+설정!$B$9*(Q391-1))+설정!$B$8*R391*(1+설정!$B$9*(R391-1))</f>
        <v>696</v>
      </c>
      <c r="Y391" s="7">
        <f>설정!$B$10*(O391*(1+설정!$B$9*(O391-1))+P391*(1+설정!$B$9*(P391-1)))</f>
        <v>30</v>
      </c>
      <c r="Z391" s="7">
        <f t="shared" si="6"/>
        <v>16.8</v>
      </c>
      <c r="AA391" s="7">
        <f>X391*설정!$B$11</f>
        <v>69.600000000000009</v>
      </c>
      <c r="AB391" s="3"/>
    </row>
    <row r="392" spans="1:28">
      <c r="A392" s="10" t="s">
        <v>1866</v>
      </c>
      <c r="B392" s="11" t="s">
        <v>1867</v>
      </c>
      <c r="C392" s="11" t="s">
        <v>1816</v>
      </c>
      <c r="D392" s="11" t="s">
        <v>597</v>
      </c>
      <c r="E392" s="11" t="s">
        <v>1868</v>
      </c>
      <c r="F392" s="4" t="s">
        <v>177</v>
      </c>
      <c r="G392" s="4" t="s">
        <v>1316</v>
      </c>
      <c r="H392" s="5">
        <v>10.199999999999999</v>
      </c>
      <c r="I392" s="3" t="s">
        <v>1869</v>
      </c>
      <c r="J392" s="3" t="s">
        <v>600</v>
      </c>
      <c r="K392" s="3" t="s">
        <v>140</v>
      </c>
      <c r="L392" s="4" t="s">
        <v>601</v>
      </c>
      <c r="M392" s="3"/>
      <c r="N392" s="3"/>
      <c r="O392" s="6">
        <v>1</v>
      </c>
      <c r="P392" s="6">
        <v>1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3"/>
      <c r="W392" s="4" t="s">
        <v>1870</v>
      </c>
      <c r="X392" s="7">
        <f>설정!$B$4*H392+설정!$B$5*O392*(1+설정!$B$9*(O392-1))+설정!$B$6*P392*(1+설정!$B$9*(P392-1))+설정!$B$7*Q392*(1+설정!$B$9*(Q392-1))+설정!$B$8*R392*(1+설정!$B$9*(R392-1))</f>
        <v>606</v>
      </c>
      <c r="Y392" s="7">
        <f>설정!$B$10*(O392*(1+설정!$B$9*(O392-1))+P392*(1+설정!$B$9*(P392-1)))</f>
        <v>30</v>
      </c>
      <c r="Z392" s="7">
        <f t="shared" si="6"/>
        <v>19.8</v>
      </c>
      <c r="AA392" s="7">
        <f>X392*설정!$B$11</f>
        <v>60.6</v>
      </c>
      <c r="AB392" s="4" t="s">
        <v>608</v>
      </c>
    </row>
    <row r="393" spans="1:28">
      <c r="A393" s="10" t="s">
        <v>1871</v>
      </c>
      <c r="B393" s="11" t="s">
        <v>1872</v>
      </c>
      <c r="C393" s="11" t="s">
        <v>1816</v>
      </c>
      <c r="D393" s="11" t="s">
        <v>597</v>
      </c>
      <c r="E393" s="11" t="s">
        <v>1873</v>
      </c>
      <c r="F393" s="4" t="s">
        <v>177</v>
      </c>
      <c r="G393" s="4" t="s">
        <v>1316</v>
      </c>
      <c r="H393" s="5">
        <v>9.9</v>
      </c>
      <c r="I393" s="3" t="s">
        <v>1874</v>
      </c>
      <c r="J393" s="3" t="s">
        <v>600</v>
      </c>
      <c r="K393" s="3" t="s">
        <v>140</v>
      </c>
      <c r="L393" s="4" t="s">
        <v>601</v>
      </c>
      <c r="M393" s="3"/>
      <c r="N393" s="3"/>
      <c r="O393" s="6">
        <v>1</v>
      </c>
      <c r="P393" s="6">
        <v>1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3"/>
      <c r="W393" s="4" t="s">
        <v>1875</v>
      </c>
      <c r="X393" s="7">
        <f>설정!$B$4*H393+설정!$B$5*O393*(1+설정!$B$9*(O393-1))+설정!$B$6*P393*(1+설정!$B$9*(P393-1))+설정!$B$7*Q393*(1+설정!$B$9*(Q393-1))+설정!$B$8*R393*(1+설정!$B$9*(R393-1))</f>
        <v>597</v>
      </c>
      <c r="Y393" s="7">
        <f>설정!$B$10*(O393*(1+설정!$B$9*(O393-1))+P393*(1+설정!$B$9*(P393-1)))</f>
        <v>30</v>
      </c>
      <c r="Z393" s="7">
        <f t="shared" si="6"/>
        <v>20.100000000000001</v>
      </c>
      <c r="AA393" s="7">
        <f>X393*설정!$B$11</f>
        <v>59.7</v>
      </c>
      <c r="AB393" s="3"/>
    </row>
    <row r="394" spans="1:28">
      <c r="A394" s="10" t="s">
        <v>1876</v>
      </c>
      <c r="B394" s="11" t="s">
        <v>1877</v>
      </c>
      <c r="C394" s="11" t="s">
        <v>1816</v>
      </c>
      <c r="D394" s="11" t="s">
        <v>597</v>
      </c>
      <c r="E394" s="11" t="s">
        <v>1878</v>
      </c>
      <c r="F394" s="4" t="s">
        <v>177</v>
      </c>
      <c r="G394" s="4" t="s">
        <v>1316</v>
      </c>
      <c r="H394" s="5">
        <v>7.3</v>
      </c>
      <c r="I394" s="3" t="s">
        <v>1879</v>
      </c>
      <c r="J394" s="3" t="s">
        <v>600</v>
      </c>
      <c r="K394" s="3" t="s">
        <v>37</v>
      </c>
      <c r="L394" s="3"/>
      <c r="M394" s="3"/>
      <c r="N394" s="3"/>
      <c r="O394" s="6">
        <v>1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3"/>
      <c r="W394" s="3"/>
      <c r="X394" s="7">
        <f>설정!$B$4*H394+설정!$B$5*O394*(1+설정!$B$9*(O394-1))+설정!$B$6*P394*(1+설정!$B$9*(P394-1))+설정!$B$7*Q394*(1+설정!$B$9*(Q394-1))+설정!$B$8*R394*(1+설정!$B$9*(R394-1))</f>
        <v>369</v>
      </c>
      <c r="Y394" s="7">
        <f>설정!$B$10*(O394*(1+설정!$B$9*(O394-1))+P394*(1+설정!$B$9*(P394-1)))</f>
        <v>15</v>
      </c>
      <c r="Z394" s="7">
        <f t="shared" si="6"/>
        <v>7.7</v>
      </c>
      <c r="AA394" s="7">
        <f>X394*설정!$B$11</f>
        <v>36.9</v>
      </c>
      <c r="AB394" s="3"/>
    </row>
    <row r="395" spans="1:28">
      <c r="A395" s="10" t="s">
        <v>1880</v>
      </c>
      <c r="B395" s="11" t="s">
        <v>1881</v>
      </c>
      <c r="C395" s="11" t="s">
        <v>1816</v>
      </c>
      <c r="D395" s="11" t="s">
        <v>597</v>
      </c>
      <c r="E395" s="11" t="s">
        <v>1882</v>
      </c>
      <c r="F395" s="4" t="s">
        <v>177</v>
      </c>
      <c r="G395" s="4" t="s">
        <v>1316</v>
      </c>
      <c r="H395" s="5">
        <v>5.7</v>
      </c>
      <c r="I395" s="3" t="s">
        <v>1883</v>
      </c>
      <c r="J395" s="3" t="s">
        <v>600</v>
      </c>
      <c r="K395" s="3" t="s">
        <v>37</v>
      </c>
      <c r="L395" s="3"/>
      <c r="M395" s="3"/>
      <c r="N395" s="3"/>
      <c r="O395" s="6">
        <v>1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3"/>
      <c r="W395" s="3"/>
      <c r="X395" s="7">
        <f>설정!$B$4*H395+설정!$B$5*O395*(1+설정!$B$9*(O395-1))+설정!$B$6*P395*(1+설정!$B$9*(P395-1))+설정!$B$7*Q395*(1+설정!$B$9*(Q395-1))+설정!$B$8*R395*(1+설정!$B$9*(R395-1))</f>
        <v>321</v>
      </c>
      <c r="Y395" s="7">
        <f>설정!$B$10*(O395*(1+설정!$B$9*(O395-1))+P395*(1+설정!$B$9*(P395-1)))</f>
        <v>15</v>
      </c>
      <c r="Z395" s="7">
        <f t="shared" si="6"/>
        <v>9.3000000000000007</v>
      </c>
      <c r="AA395" s="7">
        <f>X395*설정!$B$11</f>
        <v>32.1</v>
      </c>
      <c r="AB395" s="3"/>
    </row>
    <row r="396" spans="1:28">
      <c r="A396" s="10" t="s">
        <v>1884</v>
      </c>
      <c r="B396" s="11" t="s">
        <v>1885</v>
      </c>
      <c r="C396" s="11" t="s">
        <v>1886</v>
      </c>
      <c r="D396" s="11" t="s">
        <v>597</v>
      </c>
      <c r="E396" s="11" t="s">
        <v>1887</v>
      </c>
      <c r="F396" s="4" t="s">
        <v>362</v>
      </c>
      <c r="G396" s="4" t="s">
        <v>1201</v>
      </c>
      <c r="H396" s="5">
        <v>37.799999999999997</v>
      </c>
      <c r="I396" s="3" t="s">
        <v>1888</v>
      </c>
      <c r="J396" s="3" t="s">
        <v>600</v>
      </c>
      <c r="K396" s="3" t="s">
        <v>37</v>
      </c>
      <c r="L396" s="3"/>
      <c r="M396" s="3"/>
      <c r="N396" s="3"/>
      <c r="O396" s="6">
        <v>0</v>
      </c>
      <c r="P396" s="6">
        <v>0</v>
      </c>
      <c r="Q396" s="6">
        <v>2</v>
      </c>
      <c r="R396" s="6">
        <v>1</v>
      </c>
      <c r="S396" s="6">
        <v>0</v>
      </c>
      <c r="T396" s="6">
        <v>0</v>
      </c>
      <c r="U396" s="6">
        <v>0</v>
      </c>
      <c r="V396" s="3"/>
      <c r="W396" s="4" t="s">
        <v>1889</v>
      </c>
      <c r="X396" s="7">
        <f>설정!$B$4*H396+설정!$B$5*O396*(1+설정!$B$9*(O396-1))+설정!$B$6*P396*(1+설정!$B$9*(P396-1))+설정!$B$7*Q396*(1+설정!$B$9*(Q396-1))+설정!$B$8*R396*(1+설정!$B$9*(R396-1))</f>
        <v>4134</v>
      </c>
      <c r="Y396" s="7">
        <f>설정!$B$10*(O396*(1+설정!$B$9*(O396-1))+P396*(1+설정!$B$9*(P396-1)))</f>
        <v>0</v>
      </c>
      <c r="Z396" s="7">
        <f t="shared" si="6"/>
        <v>-37.799999999999997</v>
      </c>
      <c r="AA396" s="7">
        <f>X396*설정!$B$11</f>
        <v>413.40000000000003</v>
      </c>
      <c r="AB396" s="3"/>
    </row>
    <row r="397" spans="1:28">
      <c r="A397" s="10" t="s">
        <v>1890</v>
      </c>
      <c r="B397" s="11" t="s">
        <v>1891</v>
      </c>
      <c r="C397" s="11" t="s">
        <v>1886</v>
      </c>
      <c r="D397" s="11" t="s">
        <v>597</v>
      </c>
      <c r="E397" s="11" t="s">
        <v>1892</v>
      </c>
      <c r="F397" s="4" t="s">
        <v>362</v>
      </c>
      <c r="G397" s="4" t="s">
        <v>1201</v>
      </c>
      <c r="H397" s="5">
        <v>25.2</v>
      </c>
      <c r="I397" s="3" t="s">
        <v>1893</v>
      </c>
      <c r="J397" s="3" t="s">
        <v>600</v>
      </c>
      <c r="K397" s="3" t="s">
        <v>37</v>
      </c>
      <c r="L397" s="3"/>
      <c r="M397" s="3"/>
      <c r="N397" s="3"/>
      <c r="O397" s="6">
        <v>1</v>
      </c>
      <c r="P397" s="6">
        <v>0</v>
      </c>
      <c r="Q397" s="6">
        <v>2</v>
      </c>
      <c r="R397" s="6">
        <v>1</v>
      </c>
      <c r="S397" s="6">
        <v>0</v>
      </c>
      <c r="T397" s="6">
        <v>0</v>
      </c>
      <c r="U397" s="6">
        <v>1</v>
      </c>
      <c r="V397" s="4" t="s">
        <v>1894</v>
      </c>
      <c r="W397" s="4" t="s">
        <v>1895</v>
      </c>
      <c r="X397" s="7">
        <f>설정!$B$4*H397+설정!$B$5*O397*(1+설정!$B$9*(O397-1))+설정!$B$6*P397*(1+설정!$B$9*(P397-1))+설정!$B$7*Q397*(1+설정!$B$9*(Q397-1))+설정!$B$8*R397*(1+설정!$B$9*(R397-1))</f>
        <v>3906</v>
      </c>
      <c r="Y397" s="7">
        <f>설정!$B$10*(O397*(1+설정!$B$9*(O397-1))+P397*(1+설정!$B$9*(P397-1)))</f>
        <v>15</v>
      </c>
      <c r="Z397" s="7">
        <f t="shared" si="6"/>
        <v>-10.199999999999999</v>
      </c>
      <c r="AA397" s="7">
        <f>X397*설정!$B$11</f>
        <v>390.6</v>
      </c>
      <c r="AB397" s="4" t="s">
        <v>608</v>
      </c>
    </row>
    <row r="398" spans="1:28">
      <c r="A398" s="10" t="s">
        <v>1896</v>
      </c>
      <c r="B398" s="11" t="s">
        <v>1897</v>
      </c>
      <c r="C398" s="11" t="s">
        <v>1886</v>
      </c>
      <c r="D398" s="11" t="s">
        <v>597</v>
      </c>
      <c r="E398" s="11" t="s">
        <v>1898</v>
      </c>
      <c r="F398" s="4" t="s">
        <v>362</v>
      </c>
      <c r="G398" s="4" t="s">
        <v>1201</v>
      </c>
      <c r="H398" s="5">
        <v>17.5</v>
      </c>
      <c r="I398" s="3" t="s">
        <v>1899</v>
      </c>
      <c r="J398" s="3" t="s">
        <v>600</v>
      </c>
      <c r="K398" s="3" t="s">
        <v>37</v>
      </c>
      <c r="L398" s="3"/>
      <c r="M398" s="3"/>
      <c r="N398" s="3"/>
      <c r="O398" s="6">
        <v>1</v>
      </c>
      <c r="P398" s="6">
        <v>0</v>
      </c>
      <c r="Q398" s="6">
        <v>1</v>
      </c>
      <c r="R398" s="6">
        <v>1</v>
      </c>
      <c r="S398" s="6">
        <v>0</v>
      </c>
      <c r="T398" s="6">
        <v>0</v>
      </c>
      <c r="U398" s="6">
        <v>0</v>
      </c>
      <c r="V398" s="3"/>
      <c r="W398" s="4" t="s">
        <v>1900</v>
      </c>
      <c r="X398" s="7">
        <f>설정!$B$4*H398+설정!$B$5*O398*(1+설정!$B$9*(O398-1))+설정!$B$6*P398*(1+설정!$B$9*(P398-1))+설정!$B$7*Q398*(1+설정!$B$9*(Q398-1))+설정!$B$8*R398*(1+설정!$B$9*(R398-1))</f>
        <v>2275</v>
      </c>
      <c r="Y398" s="7">
        <f>설정!$B$10*(O398*(1+설정!$B$9*(O398-1))+P398*(1+설정!$B$9*(P398-1)))</f>
        <v>15</v>
      </c>
      <c r="Z398" s="7">
        <f t="shared" si="6"/>
        <v>-2.5</v>
      </c>
      <c r="AA398" s="7">
        <f>X398*설정!$B$11</f>
        <v>227.5</v>
      </c>
      <c r="AB398" s="4" t="s">
        <v>608</v>
      </c>
    </row>
    <row r="399" spans="1:28">
      <c r="A399" s="10" t="s">
        <v>1901</v>
      </c>
      <c r="B399" s="11" t="s">
        <v>1902</v>
      </c>
      <c r="C399" s="11" t="s">
        <v>1886</v>
      </c>
      <c r="D399" s="11" t="s">
        <v>597</v>
      </c>
      <c r="E399" s="11" t="s">
        <v>1903</v>
      </c>
      <c r="F399" s="4" t="s">
        <v>177</v>
      </c>
      <c r="G399" s="4" t="s">
        <v>1201</v>
      </c>
      <c r="H399" s="5">
        <v>15.9</v>
      </c>
      <c r="I399" s="3" t="s">
        <v>1904</v>
      </c>
      <c r="J399" s="3" t="s">
        <v>600</v>
      </c>
      <c r="K399" s="3" t="s">
        <v>37</v>
      </c>
      <c r="L399" s="3"/>
      <c r="M399" s="3"/>
      <c r="N399" s="3"/>
      <c r="O399" s="6">
        <v>1</v>
      </c>
      <c r="P399" s="6">
        <v>0</v>
      </c>
      <c r="Q399" s="6">
        <v>1</v>
      </c>
      <c r="R399" s="6">
        <v>0</v>
      </c>
      <c r="S399" s="6">
        <v>0</v>
      </c>
      <c r="T399" s="6">
        <v>0</v>
      </c>
      <c r="U399" s="6">
        <v>0</v>
      </c>
      <c r="V399" s="3"/>
      <c r="W399" s="3"/>
      <c r="X399" s="7">
        <f>설정!$B$4*H399+설정!$B$5*O399*(1+설정!$B$9*(O399-1))+설정!$B$6*P399*(1+설정!$B$9*(P399-1))+설정!$B$7*Q399*(1+설정!$B$9*(Q399-1))+설정!$B$8*R399*(1+설정!$B$9*(R399-1))</f>
        <v>1627</v>
      </c>
      <c r="Y399" s="7">
        <f>설정!$B$10*(O399*(1+설정!$B$9*(O399-1))+P399*(1+설정!$B$9*(P399-1)))</f>
        <v>15</v>
      </c>
      <c r="Z399" s="7">
        <f t="shared" si="6"/>
        <v>-0.90000000000000036</v>
      </c>
      <c r="AA399" s="7">
        <f>X399*설정!$B$11</f>
        <v>162.70000000000002</v>
      </c>
      <c r="AB399" s="3"/>
    </row>
    <row r="400" spans="1:28">
      <c r="A400" s="10" t="s">
        <v>1905</v>
      </c>
      <c r="B400" s="11" t="s">
        <v>1906</v>
      </c>
      <c r="C400" s="11" t="s">
        <v>1886</v>
      </c>
      <c r="D400" s="11" t="s">
        <v>597</v>
      </c>
      <c r="E400" s="11" t="s">
        <v>1907</v>
      </c>
      <c r="F400" s="4" t="s">
        <v>177</v>
      </c>
      <c r="G400" s="4" t="s">
        <v>1201</v>
      </c>
      <c r="H400" s="5">
        <v>13.9</v>
      </c>
      <c r="I400" s="3" t="s">
        <v>1908</v>
      </c>
      <c r="J400" s="3" t="s">
        <v>600</v>
      </c>
      <c r="K400" s="3" t="s">
        <v>37</v>
      </c>
      <c r="L400" s="3"/>
      <c r="M400" s="3"/>
      <c r="N400" s="3"/>
      <c r="O400" s="6">
        <v>1</v>
      </c>
      <c r="P400" s="6">
        <v>0</v>
      </c>
      <c r="Q400" s="6">
        <v>1</v>
      </c>
      <c r="R400" s="6">
        <v>0</v>
      </c>
      <c r="S400" s="6">
        <v>0</v>
      </c>
      <c r="T400" s="6">
        <v>0</v>
      </c>
      <c r="U400" s="6">
        <v>0</v>
      </c>
      <c r="V400" s="3"/>
      <c r="W400" s="3"/>
      <c r="X400" s="7">
        <f>설정!$B$4*H400+설정!$B$5*O400*(1+설정!$B$9*(O400-1))+설정!$B$6*P400*(1+설정!$B$9*(P400-1))+설정!$B$7*Q400*(1+설정!$B$9*(Q400-1))+설정!$B$8*R400*(1+설정!$B$9*(R400-1))</f>
        <v>1567</v>
      </c>
      <c r="Y400" s="7">
        <f>설정!$B$10*(O400*(1+설정!$B$9*(O400-1))+P400*(1+설정!$B$9*(P400-1)))</f>
        <v>15</v>
      </c>
      <c r="Z400" s="7">
        <f t="shared" si="6"/>
        <v>1.0999999999999996</v>
      </c>
      <c r="AA400" s="7">
        <f>X400*설정!$B$11</f>
        <v>156.70000000000002</v>
      </c>
      <c r="AB400" s="3"/>
    </row>
    <row r="401" spans="1:28">
      <c r="A401" s="10" t="s">
        <v>1909</v>
      </c>
      <c r="B401" s="11" t="s">
        <v>1910</v>
      </c>
      <c r="C401" s="11" t="s">
        <v>1886</v>
      </c>
      <c r="D401" s="11" t="s">
        <v>597</v>
      </c>
      <c r="E401" s="11" t="s">
        <v>1911</v>
      </c>
      <c r="F401" s="4" t="s">
        <v>177</v>
      </c>
      <c r="G401" s="4" t="s">
        <v>1201</v>
      </c>
      <c r="H401" s="5">
        <v>9</v>
      </c>
      <c r="I401" s="3" t="s">
        <v>1912</v>
      </c>
      <c r="J401" s="3" t="s">
        <v>600</v>
      </c>
      <c r="K401" s="3" t="s">
        <v>37</v>
      </c>
      <c r="L401" s="3"/>
      <c r="M401" s="3"/>
      <c r="N401" s="3"/>
      <c r="O401" s="6">
        <v>1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3"/>
      <c r="W401" s="4" t="s">
        <v>1913</v>
      </c>
      <c r="X401" s="7">
        <f>설정!$B$4*H401+설정!$B$5*O401*(1+설정!$B$9*(O401-1))+설정!$B$6*P401*(1+설정!$B$9*(P401-1))+설정!$B$7*Q401*(1+설정!$B$9*(Q401-1))+설정!$B$8*R401*(1+설정!$B$9*(R401-1))</f>
        <v>420</v>
      </c>
      <c r="Y401" s="7">
        <f>설정!$B$10*(O401*(1+설정!$B$9*(O401-1))+P401*(1+설정!$B$9*(P401-1)))</f>
        <v>15</v>
      </c>
      <c r="Z401" s="7">
        <f t="shared" si="6"/>
        <v>6</v>
      </c>
      <c r="AA401" s="7">
        <f>X401*설정!$B$11</f>
        <v>42</v>
      </c>
      <c r="AB401" s="4" t="s">
        <v>608</v>
      </c>
    </row>
    <row r="402" spans="1:28">
      <c r="A402" s="10" t="s">
        <v>1914</v>
      </c>
      <c r="B402" s="11" t="s">
        <v>1915</v>
      </c>
      <c r="C402" s="11" t="s">
        <v>1886</v>
      </c>
      <c r="D402" s="11" t="s">
        <v>597</v>
      </c>
      <c r="E402" s="11" t="s">
        <v>1916</v>
      </c>
      <c r="F402" s="4" t="s">
        <v>177</v>
      </c>
      <c r="G402" s="4" t="s">
        <v>1201</v>
      </c>
      <c r="H402" s="5">
        <v>8.1999999999999993</v>
      </c>
      <c r="I402" s="3" t="s">
        <v>1917</v>
      </c>
      <c r="J402" s="3" t="s">
        <v>600</v>
      </c>
      <c r="K402" s="3" t="s">
        <v>37</v>
      </c>
      <c r="L402" s="3"/>
      <c r="M402" s="3"/>
      <c r="N402" s="3"/>
      <c r="O402" s="6">
        <v>1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3"/>
      <c r="W402" s="3"/>
      <c r="X402" s="7">
        <f>설정!$B$4*H402+설정!$B$5*O402*(1+설정!$B$9*(O402-1))+설정!$B$6*P402*(1+설정!$B$9*(P402-1))+설정!$B$7*Q402*(1+설정!$B$9*(Q402-1))+설정!$B$8*R402*(1+설정!$B$9*(R402-1))</f>
        <v>396</v>
      </c>
      <c r="Y402" s="7">
        <f>설정!$B$10*(O402*(1+설정!$B$9*(O402-1))+P402*(1+설정!$B$9*(P402-1)))</f>
        <v>15</v>
      </c>
      <c r="Z402" s="7">
        <f t="shared" si="6"/>
        <v>6.8000000000000007</v>
      </c>
      <c r="AA402" s="7">
        <f>X402*설정!$B$11</f>
        <v>39.6</v>
      </c>
      <c r="AB402" s="3"/>
    </row>
    <row r="403" spans="1:28">
      <c r="A403" s="10" t="s">
        <v>1918</v>
      </c>
      <c r="B403" s="11" t="s">
        <v>1919</v>
      </c>
      <c r="C403" s="11" t="s">
        <v>1886</v>
      </c>
      <c r="D403" s="11" t="s">
        <v>597</v>
      </c>
      <c r="E403" s="11" t="s">
        <v>1920</v>
      </c>
      <c r="F403" s="4" t="s">
        <v>177</v>
      </c>
      <c r="G403" s="4" t="s">
        <v>1201</v>
      </c>
      <c r="H403" s="5">
        <v>7.6</v>
      </c>
      <c r="I403" s="3" t="s">
        <v>1921</v>
      </c>
      <c r="J403" s="3" t="s">
        <v>600</v>
      </c>
      <c r="K403" s="3" t="s">
        <v>37</v>
      </c>
      <c r="L403" s="3"/>
      <c r="M403" s="3"/>
      <c r="N403" s="3"/>
      <c r="O403" s="6">
        <v>1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1</v>
      </c>
      <c r="V403" s="4" t="s">
        <v>1922</v>
      </c>
      <c r="W403" s="4" t="s">
        <v>1923</v>
      </c>
      <c r="X403" s="7">
        <f>설정!$B$4*H403+설정!$B$5*O403*(1+설정!$B$9*(O403-1))+설정!$B$6*P403*(1+설정!$B$9*(P403-1))+설정!$B$7*Q403*(1+설정!$B$9*(Q403-1))+설정!$B$8*R403*(1+설정!$B$9*(R403-1))</f>
        <v>378</v>
      </c>
      <c r="Y403" s="7">
        <f>설정!$B$10*(O403*(1+설정!$B$9*(O403-1))+P403*(1+설정!$B$9*(P403-1)))</f>
        <v>15</v>
      </c>
      <c r="Z403" s="7">
        <f t="shared" si="6"/>
        <v>7.4</v>
      </c>
      <c r="AA403" s="7">
        <f>X403*설정!$B$11</f>
        <v>37.800000000000004</v>
      </c>
      <c r="AB403" s="4" t="s">
        <v>608</v>
      </c>
    </row>
    <row r="404" spans="1:28">
      <c r="A404" s="10" t="s">
        <v>1924</v>
      </c>
      <c r="B404" s="11" t="s">
        <v>1925</v>
      </c>
      <c r="C404" s="11" t="s">
        <v>1886</v>
      </c>
      <c r="D404" s="11" t="s">
        <v>597</v>
      </c>
      <c r="E404" s="11" t="s">
        <v>1926</v>
      </c>
      <c r="F404" s="4" t="s">
        <v>177</v>
      </c>
      <c r="G404" s="4" t="s">
        <v>1201</v>
      </c>
      <c r="H404" s="5">
        <v>7.1</v>
      </c>
      <c r="I404" s="3" t="s">
        <v>1927</v>
      </c>
      <c r="J404" s="3" t="s">
        <v>600</v>
      </c>
      <c r="K404" s="3" t="s">
        <v>37</v>
      </c>
      <c r="L404" s="3"/>
      <c r="M404" s="3"/>
      <c r="N404" s="3"/>
      <c r="O404" s="6">
        <v>1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3"/>
      <c r="W404" s="3"/>
      <c r="X404" s="7">
        <f>설정!$B$4*H404+설정!$B$5*O404*(1+설정!$B$9*(O404-1))+설정!$B$6*P404*(1+설정!$B$9*(P404-1))+설정!$B$7*Q404*(1+설정!$B$9*(Q404-1))+설정!$B$8*R404*(1+설정!$B$9*(R404-1))</f>
        <v>363</v>
      </c>
      <c r="Y404" s="7">
        <f>설정!$B$10*(O404*(1+설정!$B$9*(O404-1))+P404*(1+설정!$B$9*(P404-1)))</f>
        <v>15</v>
      </c>
      <c r="Z404" s="7">
        <f t="shared" si="6"/>
        <v>7.9</v>
      </c>
      <c r="AA404" s="7">
        <f>X404*설정!$B$11</f>
        <v>36.300000000000004</v>
      </c>
      <c r="AB404" s="3"/>
    </row>
    <row r="405" spans="1:28">
      <c r="A405" s="10" t="s">
        <v>1928</v>
      </c>
      <c r="B405" s="11" t="s">
        <v>1929</v>
      </c>
      <c r="C405" s="11" t="s">
        <v>1886</v>
      </c>
      <c r="D405" s="11" t="s">
        <v>597</v>
      </c>
      <c r="E405" s="11" t="s">
        <v>1930</v>
      </c>
      <c r="F405" s="4" t="s">
        <v>177</v>
      </c>
      <c r="G405" s="4" t="s">
        <v>1201</v>
      </c>
      <c r="H405" s="5">
        <v>6.5</v>
      </c>
      <c r="I405" s="3" t="s">
        <v>1931</v>
      </c>
      <c r="J405" s="3" t="s">
        <v>600</v>
      </c>
      <c r="K405" s="3" t="s">
        <v>37</v>
      </c>
      <c r="L405" s="3"/>
      <c r="M405" s="3"/>
      <c r="N405" s="3"/>
      <c r="O405" s="6">
        <v>1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3"/>
      <c r="W405" s="3"/>
      <c r="X405" s="7">
        <f>설정!$B$4*H405+설정!$B$5*O405*(1+설정!$B$9*(O405-1))+설정!$B$6*P405*(1+설정!$B$9*(P405-1))+설정!$B$7*Q405*(1+설정!$B$9*(Q405-1))+설정!$B$8*R405*(1+설정!$B$9*(R405-1))</f>
        <v>345</v>
      </c>
      <c r="Y405" s="7">
        <f>설정!$B$10*(O405*(1+설정!$B$9*(O405-1))+P405*(1+설정!$B$9*(P405-1)))</f>
        <v>15</v>
      </c>
      <c r="Z405" s="7">
        <f t="shared" si="6"/>
        <v>8.5</v>
      </c>
      <c r="AA405" s="7">
        <f>X405*설정!$B$11</f>
        <v>34.5</v>
      </c>
      <c r="AB405" s="3"/>
    </row>
    <row r="406" spans="1:28">
      <c r="A406" s="10" t="s">
        <v>1932</v>
      </c>
      <c r="B406" s="11" t="s">
        <v>1933</v>
      </c>
      <c r="C406" s="11" t="s">
        <v>1886</v>
      </c>
      <c r="D406" s="11" t="s">
        <v>597</v>
      </c>
      <c r="E406" s="11" t="s">
        <v>1934</v>
      </c>
      <c r="F406" s="4" t="s">
        <v>177</v>
      </c>
      <c r="G406" s="4" t="s">
        <v>1201</v>
      </c>
      <c r="H406" s="5">
        <v>6.4</v>
      </c>
      <c r="I406" s="3" t="s">
        <v>1935</v>
      </c>
      <c r="J406" s="3" t="s">
        <v>600</v>
      </c>
      <c r="K406" s="3" t="s">
        <v>37</v>
      </c>
      <c r="L406" s="3"/>
      <c r="M406" s="3"/>
      <c r="N406" s="3"/>
      <c r="O406" s="6">
        <v>1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3"/>
      <c r="W406" s="3"/>
      <c r="X406" s="7">
        <f>설정!$B$4*H406+설정!$B$5*O406*(1+설정!$B$9*(O406-1))+설정!$B$6*P406*(1+설정!$B$9*(P406-1))+설정!$B$7*Q406*(1+설정!$B$9*(Q406-1))+설정!$B$8*R406*(1+설정!$B$9*(R406-1))</f>
        <v>342</v>
      </c>
      <c r="Y406" s="7">
        <f>설정!$B$10*(O406*(1+설정!$B$9*(O406-1))+P406*(1+설정!$B$9*(P406-1)))</f>
        <v>15</v>
      </c>
      <c r="Z406" s="7">
        <f t="shared" si="6"/>
        <v>8.6</v>
      </c>
      <c r="AA406" s="7">
        <f>X406*설정!$B$11</f>
        <v>34.200000000000003</v>
      </c>
      <c r="AB406" s="3"/>
    </row>
    <row r="407" spans="1:28">
      <c r="A407" s="10" t="s">
        <v>1936</v>
      </c>
      <c r="B407" s="11" t="s">
        <v>1937</v>
      </c>
      <c r="C407" s="11" t="s">
        <v>1886</v>
      </c>
      <c r="D407" s="11" t="s">
        <v>597</v>
      </c>
      <c r="E407" s="11" t="s">
        <v>1938</v>
      </c>
      <c r="F407" s="4" t="s">
        <v>177</v>
      </c>
      <c r="G407" s="4" t="s">
        <v>1201</v>
      </c>
      <c r="H407" s="5">
        <v>6.3</v>
      </c>
      <c r="I407" s="3" t="s">
        <v>1939</v>
      </c>
      <c r="J407" s="3" t="s">
        <v>600</v>
      </c>
      <c r="K407" s="3" t="s">
        <v>37</v>
      </c>
      <c r="L407" s="3"/>
      <c r="M407" s="3"/>
      <c r="N407" s="3"/>
      <c r="O407" s="6">
        <v>1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3"/>
      <c r="W407" s="3"/>
      <c r="X407" s="7">
        <f>설정!$B$4*H407+설정!$B$5*O407*(1+설정!$B$9*(O407-1))+설정!$B$6*P407*(1+설정!$B$9*(P407-1))+설정!$B$7*Q407*(1+설정!$B$9*(Q407-1))+설정!$B$8*R407*(1+설정!$B$9*(R407-1))</f>
        <v>339</v>
      </c>
      <c r="Y407" s="7">
        <f>설정!$B$10*(O407*(1+설정!$B$9*(O407-1))+P407*(1+설정!$B$9*(P407-1)))</f>
        <v>15</v>
      </c>
      <c r="Z407" s="7">
        <f t="shared" si="6"/>
        <v>8.6999999999999993</v>
      </c>
      <c r="AA407" s="7">
        <f>X407*설정!$B$11</f>
        <v>33.9</v>
      </c>
      <c r="AB407" s="3"/>
    </row>
    <row r="408" spans="1:28">
      <c r="A408" s="10" t="s">
        <v>1940</v>
      </c>
      <c r="B408" s="11" t="s">
        <v>1941</v>
      </c>
      <c r="C408" s="11" t="s">
        <v>1886</v>
      </c>
      <c r="D408" s="11" t="s">
        <v>597</v>
      </c>
      <c r="E408" s="11" t="s">
        <v>1942</v>
      </c>
      <c r="F408" s="4" t="s">
        <v>177</v>
      </c>
      <c r="G408" s="4" t="s">
        <v>1201</v>
      </c>
      <c r="H408" s="5">
        <v>6.3</v>
      </c>
      <c r="I408" s="3" t="s">
        <v>1943</v>
      </c>
      <c r="J408" s="3" t="s">
        <v>600</v>
      </c>
      <c r="K408" s="3" t="s">
        <v>37</v>
      </c>
      <c r="L408" s="3"/>
      <c r="M408" s="3"/>
      <c r="N408" s="3"/>
      <c r="O408" s="6">
        <v>1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3"/>
      <c r="W408" s="3"/>
      <c r="X408" s="7">
        <f>설정!$B$4*H408+설정!$B$5*O408*(1+설정!$B$9*(O408-1))+설정!$B$6*P408*(1+설정!$B$9*(P408-1))+설정!$B$7*Q408*(1+설정!$B$9*(Q408-1))+설정!$B$8*R408*(1+설정!$B$9*(R408-1))</f>
        <v>339</v>
      </c>
      <c r="Y408" s="7">
        <f>설정!$B$10*(O408*(1+설정!$B$9*(O408-1))+P408*(1+설정!$B$9*(P408-1)))</f>
        <v>15</v>
      </c>
      <c r="Z408" s="7">
        <f t="shared" si="6"/>
        <v>8.6999999999999993</v>
      </c>
      <c r="AA408" s="7">
        <f>X408*설정!$B$11</f>
        <v>33.9</v>
      </c>
      <c r="AB408" s="3"/>
    </row>
    <row r="409" spans="1:28">
      <c r="A409" s="10" t="s">
        <v>1944</v>
      </c>
      <c r="B409" s="11" t="s">
        <v>1945</v>
      </c>
      <c r="C409" s="11" t="s">
        <v>1886</v>
      </c>
      <c r="D409" s="11" t="s">
        <v>597</v>
      </c>
      <c r="E409" s="11" t="s">
        <v>1946</v>
      </c>
      <c r="F409" s="4" t="s">
        <v>177</v>
      </c>
      <c r="G409" s="4" t="s">
        <v>1201</v>
      </c>
      <c r="H409" s="5">
        <v>6.2</v>
      </c>
      <c r="I409" s="3" t="s">
        <v>1947</v>
      </c>
      <c r="J409" s="3" t="s">
        <v>600</v>
      </c>
      <c r="K409" s="3" t="s">
        <v>37</v>
      </c>
      <c r="L409" s="3"/>
      <c r="M409" s="3"/>
      <c r="N409" s="3"/>
      <c r="O409" s="6">
        <v>1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3"/>
      <c r="W409" s="3"/>
      <c r="X409" s="7">
        <f>설정!$B$4*H409+설정!$B$5*O409*(1+설정!$B$9*(O409-1))+설정!$B$6*P409*(1+설정!$B$9*(P409-1))+설정!$B$7*Q409*(1+설정!$B$9*(Q409-1))+설정!$B$8*R409*(1+설정!$B$9*(R409-1))</f>
        <v>336</v>
      </c>
      <c r="Y409" s="7">
        <f>설정!$B$10*(O409*(1+설정!$B$9*(O409-1))+P409*(1+설정!$B$9*(P409-1)))</f>
        <v>15</v>
      </c>
      <c r="Z409" s="7">
        <f t="shared" si="6"/>
        <v>8.8000000000000007</v>
      </c>
      <c r="AA409" s="7">
        <f>X409*설정!$B$11</f>
        <v>33.6</v>
      </c>
      <c r="AB409" s="3"/>
    </row>
    <row r="410" spans="1:28">
      <c r="A410" s="10" t="s">
        <v>1948</v>
      </c>
      <c r="B410" s="11" t="s">
        <v>1949</v>
      </c>
      <c r="C410" s="11" t="s">
        <v>1886</v>
      </c>
      <c r="D410" s="11" t="s">
        <v>597</v>
      </c>
      <c r="E410" s="11" t="s">
        <v>1950</v>
      </c>
      <c r="F410" s="4" t="s">
        <v>177</v>
      </c>
      <c r="G410" s="4" t="s">
        <v>1201</v>
      </c>
      <c r="H410" s="5">
        <v>5.7</v>
      </c>
      <c r="I410" s="3" t="s">
        <v>1951</v>
      </c>
      <c r="J410" s="3" t="s">
        <v>600</v>
      </c>
      <c r="K410" s="3" t="s">
        <v>37</v>
      </c>
      <c r="L410" s="3"/>
      <c r="M410" s="3"/>
      <c r="N410" s="3"/>
      <c r="O410" s="6">
        <v>1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3"/>
      <c r="W410" s="3"/>
      <c r="X410" s="7">
        <f>설정!$B$4*H410+설정!$B$5*O410*(1+설정!$B$9*(O410-1))+설정!$B$6*P410*(1+설정!$B$9*(P410-1))+설정!$B$7*Q410*(1+설정!$B$9*(Q410-1))+설정!$B$8*R410*(1+설정!$B$9*(R410-1))</f>
        <v>321</v>
      </c>
      <c r="Y410" s="7">
        <f>설정!$B$10*(O410*(1+설정!$B$9*(O410-1))+P410*(1+설정!$B$9*(P410-1)))</f>
        <v>15</v>
      </c>
      <c r="Z410" s="7">
        <f t="shared" si="6"/>
        <v>9.3000000000000007</v>
      </c>
      <c r="AA410" s="7">
        <f>X410*설정!$B$11</f>
        <v>32.1</v>
      </c>
      <c r="AB410" s="3"/>
    </row>
    <row r="411" spans="1:28">
      <c r="A411" s="10" t="s">
        <v>1952</v>
      </c>
      <c r="B411" s="11" t="s">
        <v>1953</v>
      </c>
      <c r="C411" s="11" t="s">
        <v>1886</v>
      </c>
      <c r="D411" s="11" t="s">
        <v>597</v>
      </c>
      <c r="E411" s="11" t="s">
        <v>1954</v>
      </c>
      <c r="F411" s="4" t="s">
        <v>177</v>
      </c>
      <c r="G411" s="4" t="s">
        <v>1201</v>
      </c>
      <c r="H411" s="5">
        <v>5.5</v>
      </c>
      <c r="I411" s="3" t="s">
        <v>1955</v>
      </c>
      <c r="J411" s="3" t="s">
        <v>600</v>
      </c>
      <c r="K411" s="3" t="s">
        <v>37</v>
      </c>
      <c r="L411" s="3"/>
      <c r="M411" s="3"/>
      <c r="N411" s="3"/>
      <c r="O411" s="6">
        <v>1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3"/>
      <c r="W411" s="3"/>
      <c r="X411" s="7">
        <f>설정!$B$4*H411+설정!$B$5*O411*(1+설정!$B$9*(O411-1))+설정!$B$6*P411*(1+설정!$B$9*(P411-1))+설정!$B$7*Q411*(1+설정!$B$9*(Q411-1))+설정!$B$8*R411*(1+설정!$B$9*(R411-1))</f>
        <v>315</v>
      </c>
      <c r="Y411" s="7">
        <f>설정!$B$10*(O411*(1+설정!$B$9*(O411-1))+P411*(1+설정!$B$9*(P411-1)))</f>
        <v>15</v>
      </c>
      <c r="Z411" s="7">
        <f t="shared" si="6"/>
        <v>9.5</v>
      </c>
      <c r="AA411" s="7">
        <f>X411*설정!$B$11</f>
        <v>31.5</v>
      </c>
      <c r="AB411" s="3"/>
    </row>
    <row r="412" spans="1:28">
      <c r="A412" s="10" t="s">
        <v>1956</v>
      </c>
      <c r="B412" s="11" t="s">
        <v>1957</v>
      </c>
      <c r="C412" s="11" t="s">
        <v>1886</v>
      </c>
      <c r="D412" s="11" t="s">
        <v>597</v>
      </c>
      <c r="E412" s="11" t="s">
        <v>1958</v>
      </c>
      <c r="F412" s="4" t="s">
        <v>177</v>
      </c>
      <c r="G412" s="4" t="s">
        <v>1201</v>
      </c>
      <c r="H412" s="5">
        <v>4.9000000000000004</v>
      </c>
      <c r="I412" s="3" t="s">
        <v>1959</v>
      </c>
      <c r="J412" s="3" t="s">
        <v>600</v>
      </c>
      <c r="K412" s="3" t="s">
        <v>37</v>
      </c>
      <c r="L412" s="3"/>
      <c r="M412" s="3"/>
      <c r="N412" s="3"/>
      <c r="O412" s="6">
        <v>1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3"/>
      <c r="W412" s="3"/>
      <c r="X412" s="7">
        <f>설정!$B$4*H412+설정!$B$5*O412*(1+설정!$B$9*(O412-1))+설정!$B$6*P412*(1+설정!$B$9*(P412-1))+설정!$B$7*Q412*(1+설정!$B$9*(Q412-1))+설정!$B$8*R412*(1+설정!$B$9*(R412-1))</f>
        <v>297</v>
      </c>
      <c r="Y412" s="7">
        <f>설정!$B$10*(O412*(1+설정!$B$9*(O412-1))+P412*(1+설정!$B$9*(P412-1)))</f>
        <v>15</v>
      </c>
      <c r="Z412" s="7">
        <f t="shared" si="6"/>
        <v>10.1</v>
      </c>
      <c r="AA412" s="7">
        <f>X412*설정!$B$11</f>
        <v>29.700000000000003</v>
      </c>
      <c r="AB412" s="3"/>
    </row>
    <row r="413" spans="1:28">
      <c r="A413" s="10" t="s">
        <v>1960</v>
      </c>
      <c r="B413" s="11" t="s">
        <v>1961</v>
      </c>
      <c r="C413" s="11" t="s">
        <v>1886</v>
      </c>
      <c r="D413" s="11" t="s">
        <v>597</v>
      </c>
      <c r="E413" s="11" t="s">
        <v>1962</v>
      </c>
      <c r="F413" s="4" t="s">
        <v>177</v>
      </c>
      <c r="G413" s="4" t="s">
        <v>1201</v>
      </c>
      <c r="H413" s="5">
        <v>4.7</v>
      </c>
      <c r="I413" s="3" t="s">
        <v>1963</v>
      </c>
      <c r="J413" s="3" t="s">
        <v>600</v>
      </c>
      <c r="K413" s="3" t="s">
        <v>37</v>
      </c>
      <c r="L413" s="3"/>
      <c r="M413" s="3"/>
      <c r="N413" s="3"/>
      <c r="O413" s="6">
        <v>1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3"/>
      <c r="W413" s="3"/>
      <c r="X413" s="7">
        <f>설정!$B$4*H413+설정!$B$5*O413*(1+설정!$B$9*(O413-1))+설정!$B$6*P413*(1+설정!$B$9*(P413-1))+설정!$B$7*Q413*(1+설정!$B$9*(Q413-1))+설정!$B$8*R413*(1+설정!$B$9*(R413-1))</f>
        <v>291</v>
      </c>
      <c r="Y413" s="7">
        <f>설정!$B$10*(O413*(1+설정!$B$9*(O413-1))+P413*(1+설정!$B$9*(P413-1)))</f>
        <v>15</v>
      </c>
      <c r="Z413" s="7">
        <f t="shared" si="6"/>
        <v>10.3</v>
      </c>
      <c r="AA413" s="7">
        <f>X413*설정!$B$11</f>
        <v>29.1</v>
      </c>
      <c r="AB413" s="3"/>
    </row>
    <row r="414" spans="1:28">
      <c r="A414" s="10" t="s">
        <v>1964</v>
      </c>
      <c r="B414" s="11" t="s">
        <v>1965</v>
      </c>
      <c r="C414" s="11" t="s">
        <v>1966</v>
      </c>
      <c r="D414" s="11" t="s">
        <v>597</v>
      </c>
      <c r="E414" s="11" t="s">
        <v>1967</v>
      </c>
      <c r="F414" s="4" t="s">
        <v>362</v>
      </c>
      <c r="G414" s="4" t="s">
        <v>1316</v>
      </c>
      <c r="H414" s="5">
        <v>28.9</v>
      </c>
      <c r="I414" s="3" t="s">
        <v>1968</v>
      </c>
      <c r="J414" s="3" t="s">
        <v>600</v>
      </c>
      <c r="K414" s="3" t="s">
        <v>37</v>
      </c>
      <c r="L414" s="3"/>
      <c r="M414" s="3"/>
      <c r="N414" s="3"/>
      <c r="O414" s="6">
        <v>1</v>
      </c>
      <c r="P414" s="6">
        <v>0</v>
      </c>
      <c r="Q414" s="6">
        <v>1</v>
      </c>
      <c r="R414" s="6">
        <v>1</v>
      </c>
      <c r="S414" s="6">
        <v>0</v>
      </c>
      <c r="T414" s="6">
        <v>0</v>
      </c>
      <c r="U414" s="6">
        <v>0</v>
      </c>
      <c r="V414" s="3"/>
      <c r="W414" s="4" t="s">
        <v>1969</v>
      </c>
      <c r="X414" s="7">
        <f>설정!$B$4*H414+설정!$B$5*O414*(1+설정!$B$9*(O414-1))+설정!$B$6*P414*(1+설정!$B$9*(P414-1))+설정!$B$7*Q414*(1+설정!$B$9*(Q414-1))+설정!$B$8*R414*(1+설정!$B$9*(R414-1))</f>
        <v>2617</v>
      </c>
      <c r="Y414" s="7">
        <f>설정!$B$10*(O414*(1+설정!$B$9*(O414-1))+P414*(1+설정!$B$9*(P414-1)))</f>
        <v>15</v>
      </c>
      <c r="Z414" s="7">
        <f t="shared" si="6"/>
        <v>-13.899999999999999</v>
      </c>
      <c r="AA414" s="7">
        <f>X414*설정!$B$11</f>
        <v>261.7</v>
      </c>
      <c r="AB414" s="4" t="s">
        <v>608</v>
      </c>
    </row>
    <row r="415" spans="1:28">
      <c r="A415" s="10" t="s">
        <v>1970</v>
      </c>
      <c r="B415" s="11" t="s">
        <v>1971</v>
      </c>
      <c r="C415" s="11" t="s">
        <v>1966</v>
      </c>
      <c r="D415" s="11" t="s">
        <v>597</v>
      </c>
      <c r="E415" s="11" t="s">
        <v>1972</v>
      </c>
      <c r="F415" s="4" t="s">
        <v>177</v>
      </c>
      <c r="G415" s="4" t="s">
        <v>1316</v>
      </c>
      <c r="H415" s="5">
        <v>10.6</v>
      </c>
      <c r="I415" s="3" t="s">
        <v>1973</v>
      </c>
      <c r="J415" s="3" t="s">
        <v>600</v>
      </c>
      <c r="K415" s="3" t="s">
        <v>37</v>
      </c>
      <c r="L415" s="3"/>
      <c r="M415" s="3"/>
      <c r="N415" s="3"/>
      <c r="O415" s="6">
        <v>1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3"/>
      <c r="W415" s="4" t="s">
        <v>1974</v>
      </c>
      <c r="X415" s="7">
        <f>설정!$B$4*H415+설정!$B$5*O415*(1+설정!$B$9*(O415-1))+설정!$B$6*P415*(1+설정!$B$9*(P415-1))+설정!$B$7*Q415*(1+설정!$B$9*(Q415-1))+설정!$B$8*R415*(1+설정!$B$9*(R415-1))</f>
        <v>468</v>
      </c>
      <c r="Y415" s="7">
        <f>설정!$B$10*(O415*(1+설정!$B$9*(O415-1))+P415*(1+설정!$B$9*(P415-1)))</f>
        <v>15</v>
      </c>
      <c r="Z415" s="7">
        <f t="shared" si="6"/>
        <v>4.4000000000000004</v>
      </c>
      <c r="AA415" s="7">
        <f>X415*설정!$B$11</f>
        <v>46.800000000000004</v>
      </c>
      <c r="AB415" s="4" t="s">
        <v>608</v>
      </c>
    </row>
    <row r="416" spans="1:28">
      <c r="A416" s="10" t="s">
        <v>1975</v>
      </c>
      <c r="B416" s="11" t="s">
        <v>1976</v>
      </c>
      <c r="C416" s="11" t="s">
        <v>1966</v>
      </c>
      <c r="D416" s="11" t="s">
        <v>597</v>
      </c>
      <c r="E416" s="11" t="s">
        <v>1977</v>
      </c>
      <c r="F416" s="4" t="s">
        <v>177</v>
      </c>
      <c r="G416" s="4" t="s">
        <v>1316</v>
      </c>
      <c r="H416" s="5">
        <v>10.199999999999999</v>
      </c>
      <c r="I416" s="3" t="s">
        <v>1978</v>
      </c>
      <c r="J416" s="3" t="s">
        <v>600</v>
      </c>
      <c r="K416" s="3" t="s">
        <v>37</v>
      </c>
      <c r="L416" s="3"/>
      <c r="M416" s="3"/>
      <c r="N416" s="3"/>
      <c r="O416" s="6">
        <v>1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3"/>
      <c r="W416" s="4" t="s">
        <v>1979</v>
      </c>
      <c r="X416" s="7">
        <f>설정!$B$4*H416+설정!$B$5*O416*(1+설정!$B$9*(O416-1))+설정!$B$6*P416*(1+설정!$B$9*(P416-1))+설정!$B$7*Q416*(1+설정!$B$9*(Q416-1))+설정!$B$8*R416*(1+설정!$B$9*(R416-1))</f>
        <v>456</v>
      </c>
      <c r="Y416" s="7">
        <f>설정!$B$10*(O416*(1+설정!$B$9*(O416-1))+P416*(1+설정!$B$9*(P416-1)))</f>
        <v>15</v>
      </c>
      <c r="Z416" s="7">
        <f t="shared" si="6"/>
        <v>4.8000000000000007</v>
      </c>
      <c r="AA416" s="7">
        <f>X416*설정!$B$11</f>
        <v>45.6</v>
      </c>
      <c r="AB416" s="4" t="s">
        <v>608</v>
      </c>
    </row>
    <row r="417" spans="1:28">
      <c r="A417" s="10" t="s">
        <v>1980</v>
      </c>
      <c r="B417" s="11" t="s">
        <v>1981</v>
      </c>
      <c r="C417" s="11" t="s">
        <v>1966</v>
      </c>
      <c r="D417" s="11" t="s">
        <v>597</v>
      </c>
      <c r="E417" s="11" t="s">
        <v>1982</v>
      </c>
      <c r="F417" s="4" t="s">
        <v>177</v>
      </c>
      <c r="G417" s="4" t="s">
        <v>1316</v>
      </c>
      <c r="H417" s="5">
        <v>9.3000000000000007</v>
      </c>
      <c r="I417" s="3" t="s">
        <v>1983</v>
      </c>
      <c r="J417" s="3" t="s">
        <v>600</v>
      </c>
      <c r="K417" s="3" t="s">
        <v>37</v>
      </c>
      <c r="L417" s="3"/>
      <c r="M417" s="3"/>
      <c r="N417" s="3"/>
      <c r="O417" s="6">
        <v>1</v>
      </c>
      <c r="P417" s="6">
        <v>0</v>
      </c>
      <c r="Q417" s="6">
        <v>1</v>
      </c>
      <c r="R417" s="6">
        <v>0</v>
      </c>
      <c r="S417" s="6">
        <v>0</v>
      </c>
      <c r="T417" s="6">
        <v>0</v>
      </c>
      <c r="U417" s="6">
        <v>0</v>
      </c>
      <c r="V417" s="3"/>
      <c r="W417" s="3"/>
      <c r="X417" s="7">
        <f>설정!$B$4*H417+설정!$B$5*O417*(1+설정!$B$9*(O417-1))+설정!$B$6*P417*(1+설정!$B$9*(P417-1))+설정!$B$7*Q417*(1+설정!$B$9*(Q417-1))+설정!$B$8*R417*(1+설정!$B$9*(R417-1))</f>
        <v>1429</v>
      </c>
      <c r="Y417" s="7">
        <f>설정!$B$10*(O417*(1+설정!$B$9*(O417-1))+P417*(1+설정!$B$9*(P417-1)))</f>
        <v>15</v>
      </c>
      <c r="Z417" s="7">
        <f t="shared" si="6"/>
        <v>5.6999999999999993</v>
      </c>
      <c r="AA417" s="7">
        <f>X417*설정!$B$11</f>
        <v>142.9</v>
      </c>
      <c r="AB417" s="3"/>
    </row>
    <row r="418" spans="1:28">
      <c r="A418" s="10" t="s">
        <v>1984</v>
      </c>
      <c r="B418" s="11" t="s">
        <v>1985</v>
      </c>
      <c r="C418" s="11" t="s">
        <v>1966</v>
      </c>
      <c r="D418" s="11" t="s">
        <v>597</v>
      </c>
      <c r="E418" s="11" t="s">
        <v>1986</v>
      </c>
      <c r="F418" s="4" t="s">
        <v>177</v>
      </c>
      <c r="G418" s="4" t="s">
        <v>1316</v>
      </c>
      <c r="H418" s="5">
        <v>8.6999999999999993</v>
      </c>
      <c r="I418" s="3" t="s">
        <v>1987</v>
      </c>
      <c r="J418" s="3" t="s">
        <v>600</v>
      </c>
      <c r="K418" s="3" t="s">
        <v>37</v>
      </c>
      <c r="L418" s="3"/>
      <c r="M418" s="3"/>
      <c r="N418" s="3"/>
      <c r="O418" s="6">
        <v>1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3"/>
      <c r="W418" s="3"/>
      <c r="X418" s="7">
        <f>설정!$B$4*H418+설정!$B$5*O418*(1+설정!$B$9*(O418-1))+설정!$B$6*P418*(1+설정!$B$9*(P418-1))+설정!$B$7*Q418*(1+설정!$B$9*(Q418-1))+설정!$B$8*R418*(1+설정!$B$9*(R418-1))</f>
        <v>411</v>
      </c>
      <c r="Y418" s="7">
        <f>설정!$B$10*(O418*(1+설정!$B$9*(O418-1))+P418*(1+설정!$B$9*(P418-1)))</f>
        <v>15</v>
      </c>
      <c r="Z418" s="7">
        <f t="shared" si="6"/>
        <v>6.3000000000000007</v>
      </c>
      <c r="AA418" s="7">
        <f>X418*설정!$B$11</f>
        <v>41.1</v>
      </c>
      <c r="AB418" s="3"/>
    </row>
    <row r="419" spans="1:28">
      <c r="A419" s="10" t="s">
        <v>1988</v>
      </c>
      <c r="B419" s="11" t="s">
        <v>1989</v>
      </c>
      <c r="C419" s="11" t="s">
        <v>1966</v>
      </c>
      <c r="D419" s="11" t="s">
        <v>597</v>
      </c>
      <c r="E419" s="11" t="s">
        <v>1990</v>
      </c>
      <c r="F419" s="4" t="s">
        <v>177</v>
      </c>
      <c r="G419" s="4" t="s">
        <v>1316</v>
      </c>
      <c r="H419" s="5">
        <v>6.6</v>
      </c>
      <c r="I419" s="3" t="s">
        <v>1991</v>
      </c>
      <c r="J419" s="3" t="s">
        <v>600</v>
      </c>
      <c r="K419" s="3" t="s">
        <v>37</v>
      </c>
      <c r="L419" s="3"/>
      <c r="M419" s="3"/>
      <c r="N419" s="3"/>
      <c r="O419" s="6">
        <v>1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3"/>
      <c r="W419" s="3"/>
      <c r="X419" s="7">
        <f>설정!$B$4*H419+설정!$B$5*O419*(1+설정!$B$9*(O419-1))+설정!$B$6*P419*(1+설정!$B$9*(P419-1))+설정!$B$7*Q419*(1+설정!$B$9*(Q419-1))+설정!$B$8*R419*(1+설정!$B$9*(R419-1))</f>
        <v>348</v>
      </c>
      <c r="Y419" s="7">
        <f>설정!$B$10*(O419*(1+설정!$B$9*(O419-1))+P419*(1+설정!$B$9*(P419-1)))</f>
        <v>15</v>
      </c>
      <c r="Z419" s="7">
        <f t="shared" si="6"/>
        <v>8.4</v>
      </c>
      <c r="AA419" s="7">
        <f>X419*설정!$B$11</f>
        <v>34.800000000000004</v>
      </c>
      <c r="AB419" s="3"/>
    </row>
    <row r="420" spans="1:28">
      <c r="A420" s="10" t="s">
        <v>1992</v>
      </c>
      <c r="B420" s="11" t="s">
        <v>1993</v>
      </c>
      <c r="C420" s="11" t="s">
        <v>1966</v>
      </c>
      <c r="D420" s="11" t="s">
        <v>597</v>
      </c>
      <c r="E420" s="11" t="s">
        <v>1994</v>
      </c>
      <c r="F420" s="4" t="s">
        <v>177</v>
      </c>
      <c r="G420" s="4" t="s">
        <v>1316</v>
      </c>
      <c r="H420" s="5">
        <v>6.4</v>
      </c>
      <c r="I420" s="3" t="s">
        <v>1995</v>
      </c>
      <c r="J420" s="3" t="s">
        <v>600</v>
      </c>
      <c r="K420" s="3" t="s">
        <v>37</v>
      </c>
      <c r="L420" s="3"/>
      <c r="M420" s="3"/>
      <c r="N420" s="3"/>
      <c r="O420" s="6">
        <v>1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3"/>
      <c r="W420" s="3"/>
      <c r="X420" s="7">
        <f>설정!$B$4*H420+설정!$B$5*O420*(1+설정!$B$9*(O420-1))+설정!$B$6*P420*(1+설정!$B$9*(P420-1))+설정!$B$7*Q420*(1+설정!$B$9*(Q420-1))+설정!$B$8*R420*(1+설정!$B$9*(R420-1))</f>
        <v>342</v>
      </c>
      <c r="Y420" s="7">
        <f>설정!$B$10*(O420*(1+설정!$B$9*(O420-1))+P420*(1+설정!$B$9*(P420-1)))</f>
        <v>15</v>
      </c>
      <c r="Z420" s="7">
        <f t="shared" si="6"/>
        <v>8.6</v>
      </c>
      <c r="AA420" s="7">
        <f>X420*설정!$B$11</f>
        <v>34.200000000000003</v>
      </c>
      <c r="AB420" s="3"/>
    </row>
    <row r="421" spans="1:28">
      <c r="A421" s="10" t="s">
        <v>1996</v>
      </c>
      <c r="B421" s="11" t="s">
        <v>1997</v>
      </c>
      <c r="C421" s="11" t="s">
        <v>1966</v>
      </c>
      <c r="D421" s="11" t="s">
        <v>597</v>
      </c>
      <c r="E421" s="11" t="s">
        <v>1998</v>
      </c>
      <c r="F421" s="4" t="s">
        <v>177</v>
      </c>
      <c r="G421" s="4" t="s">
        <v>1316</v>
      </c>
      <c r="H421" s="5">
        <v>6</v>
      </c>
      <c r="I421" s="3" t="s">
        <v>1999</v>
      </c>
      <c r="J421" s="3" t="s">
        <v>600</v>
      </c>
      <c r="K421" s="3" t="s">
        <v>37</v>
      </c>
      <c r="L421" s="3"/>
      <c r="M421" s="3"/>
      <c r="N421" s="3"/>
      <c r="O421" s="6">
        <v>1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3"/>
      <c r="W421" s="3"/>
      <c r="X421" s="7">
        <f>설정!$B$4*H421+설정!$B$5*O421*(1+설정!$B$9*(O421-1))+설정!$B$6*P421*(1+설정!$B$9*(P421-1))+설정!$B$7*Q421*(1+설정!$B$9*(Q421-1))+설정!$B$8*R421*(1+설정!$B$9*(R421-1))</f>
        <v>330</v>
      </c>
      <c r="Y421" s="7">
        <f>설정!$B$10*(O421*(1+설정!$B$9*(O421-1))+P421*(1+설정!$B$9*(P421-1)))</f>
        <v>15</v>
      </c>
      <c r="Z421" s="7">
        <f t="shared" si="6"/>
        <v>9</v>
      </c>
      <c r="AA421" s="7">
        <f>X421*설정!$B$11</f>
        <v>33</v>
      </c>
      <c r="AB421" s="3"/>
    </row>
    <row r="422" spans="1:28">
      <c r="A422" s="10" t="s">
        <v>2000</v>
      </c>
      <c r="B422" s="11" t="s">
        <v>2001</v>
      </c>
      <c r="C422" s="11" t="s">
        <v>1966</v>
      </c>
      <c r="D422" s="11" t="s">
        <v>597</v>
      </c>
      <c r="E422" s="11" t="s">
        <v>2002</v>
      </c>
      <c r="F422" s="4" t="s">
        <v>177</v>
      </c>
      <c r="G422" s="4" t="s">
        <v>1316</v>
      </c>
      <c r="H422" s="5">
        <v>5.6</v>
      </c>
      <c r="I422" s="3" t="s">
        <v>2003</v>
      </c>
      <c r="J422" s="3" t="s">
        <v>600</v>
      </c>
      <c r="K422" s="3" t="s">
        <v>37</v>
      </c>
      <c r="L422" s="3"/>
      <c r="M422" s="3"/>
      <c r="N422" s="3"/>
      <c r="O422" s="6">
        <v>1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3"/>
      <c r="W422" s="3"/>
      <c r="X422" s="7">
        <f>설정!$B$4*H422+설정!$B$5*O422*(1+설정!$B$9*(O422-1))+설정!$B$6*P422*(1+설정!$B$9*(P422-1))+설정!$B$7*Q422*(1+설정!$B$9*(Q422-1))+설정!$B$8*R422*(1+설정!$B$9*(R422-1))</f>
        <v>318</v>
      </c>
      <c r="Y422" s="7">
        <f>설정!$B$10*(O422*(1+설정!$B$9*(O422-1))+P422*(1+설정!$B$9*(P422-1)))</f>
        <v>15</v>
      </c>
      <c r="Z422" s="7">
        <f t="shared" si="6"/>
        <v>9.4</v>
      </c>
      <c r="AA422" s="7">
        <f>X422*설정!$B$11</f>
        <v>31.8</v>
      </c>
      <c r="AB422" s="3"/>
    </row>
    <row r="423" spans="1:28">
      <c r="A423" s="10" t="s">
        <v>2004</v>
      </c>
      <c r="B423" s="11" t="s">
        <v>2005</v>
      </c>
      <c r="C423" s="11" t="s">
        <v>1966</v>
      </c>
      <c r="D423" s="11" t="s">
        <v>597</v>
      </c>
      <c r="E423" s="11" t="s">
        <v>2006</v>
      </c>
      <c r="F423" s="4" t="s">
        <v>177</v>
      </c>
      <c r="G423" s="4" t="s">
        <v>1316</v>
      </c>
      <c r="H423" s="5">
        <v>5.6</v>
      </c>
      <c r="I423" s="3" t="s">
        <v>2007</v>
      </c>
      <c r="J423" s="3" t="s">
        <v>600</v>
      </c>
      <c r="K423" s="3" t="s">
        <v>37</v>
      </c>
      <c r="L423" s="3"/>
      <c r="M423" s="3"/>
      <c r="N423" s="3"/>
      <c r="O423" s="6">
        <v>1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3"/>
      <c r="W423" s="3"/>
      <c r="X423" s="7">
        <f>설정!$B$4*H423+설정!$B$5*O423*(1+설정!$B$9*(O423-1))+설정!$B$6*P423*(1+설정!$B$9*(P423-1))+설정!$B$7*Q423*(1+설정!$B$9*(Q423-1))+설정!$B$8*R423*(1+설정!$B$9*(R423-1))</f>
        <v>318</v>
      </c>
      <c r="Y423" s="7">
        <f>설정!$B$10*(O423*(1+설정!$B$9*(O423-1))+P423*(1+설정!$B$9*(P423-1)))</f>
        <v>15</v>
      </c>
      <c r="Z423" s="7">
        <f t="shared" si="6"/>
        <v>9.4</v>
      </c>
      <c r="AA423" s="7">
        <f>X423*설정!$B$11</f>
        <v>31.8</v>
      </c>
      <c r="AB423" s="3"/>
    </row>
    <row r="424" spans="1:28">
      <c r="A424" s="10" t="s">
        <v>2008</v>
      </c>
      <c r="B424" s="11" t="s">
        <v>2009</v>
      </c>
      <c r="C424" s="11" t="s">
        <v>1966</v>
      </c>
      <c r="D424" s="11" t="s">
        <v>597</v>
      </c>
      <c r="E424" s="11" t="s">
        <v>2010</v>
      </c>
      <c r="F424" s="4" t="s">
        <v>177</v>
      </c>
      <c r="G424" s="4" t="s">
        <v>1316</v>
      </c>
      <c r="H424" s="5">
        <v>5.3</v>
      </c>
      <c r="I424" s="3" t="s">
        <v>2011</v>
      </c>
      <c r="J424" s="3" t="s">
        <v>600</v>
      </c>
      <c r="K424" s="3" t="s">
        <v>37</v>
      </c>
      <c r="L424" s="3"/>
      <c r="M424" s="3"/>
      <c r="N424" s="3"/>
      <c r="O424" s="6">
        <v>2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3"/>
      <c r="W424" s="4" t="s">
        <v>2012</v>
      </c>
      <c r="X424" s="7">
        <f>설정!$B$4*H424+설정!$B$5*O424*(1+설정!$B$9*(O424-1))+설정!$B$6*P424*(1+설정!$B$9*(P424-1))+설정!$B$7*Q424*(1+설정!$B$9*(Q424-1))+설정!$B$8*R424*(1+설정!$B$9*(R424-1))</f>
        <v>519</v>
      </c>
      <c r="Y424" s="7">
        <f>설정!$B$10*(O424*(1+설정!$B$9*(O424-1))+P424*(1+설정!$B$9*(P424-1)))</f>
        <v>36</v>
      </c>
      <c r="Z424" s="7">
        <f t="shared" si="6"/>
        <v>30.7</v>
      </c>
      <c r="AA424" s="7">
        <f>X424*설정!$B$11</f>
        <v>51.900000000000006</v>
      </c>
      <c r="AB424" s="3"/>
    </row>
    <row r="425" spans="1:28">
      <c r="A425" s="10" t="s">
        <v>2013</v>
      </c>
      <c r="B425" s="11" t="s">
        <v>2014</v>
      </c>
      <c r="C425" s="11" t="s">
        <v>1966</v>
      </c>
      <c r="D425" s="11" t="s">
        <v>597</v>
      </c>
      <c r="E425" s="11" t="s">
        <v>2015</v>
      </c>
      <c r="F425" s="4" t="s">
        <v>362</v>
      </c>
      <c r="G425" s="4" t="s">
        <v>1316</v>
      </c>
      <c r="H425" s="5">
        <v>4.7</v>
      </c>
      <c r="I425" s="3" t="s">
        <v>2016</v>
      </c>
      <c r="J425" s="3" t="s">
        <v>600</v>
      </c>
      <c r="K425" s="3" t="s">
        <v>37</v>
      </c>
      <c r="L425" s="3"/>
      <c r="M425" s="3"/>
      <c r="N425" s="3"/>
      <c r="O425" s="6">
        <v>1</v>
      </c>
      <c r="P425" s="6">
        <v>0</v>
      </c>
      <c r="Q425" s="6">
        <v>0</v>
      </c>
      <c r="R425" s="6">
        <v>1</v>
      </c>
      <c r="S425" s="6">
        <v>0</v>
      </c>
      <c r="T425" s="6">
        <v>0</v>
      </c>
      <c r="U425" s="6">
        <v>0</v>
      </c>
      <c r="V425" s="3"/>
      <c r="W425" s="4" t="s">
        <v>2017</v>
      </c>
      <c r="X425" s="7">
        <f>설정!$B$4*H425+설정!$B$5*O425*(1+설정!$B$9*(O425-1))+설정!$B$6*P425*(1+설정!$B$9*(P425-1))+설정!$B$7*Q425*(1+설정!$B$9*(Q425-1))+설정!$B$8*R425*(1+설정!$B$9*(R425-1))</f>
        <v>891</v>
      </c>
      <c r="Y425" s="7">
        <f>설정!$B$10*(O425*(1+설정!$B$9*(O425-1))+P425*(1+설정!$B$9*(P425-1)))</f>
        <v>15</v>
      </c>
      <c r="Z425" s="7">
        <f t="shared" si="6"/>
        <v>10.3</v>
      </c>
      <c r="AA425" s="7">
        <f>X425*설정!$B$11</f>
        <v>89.100000000000009</v>
      </c>
      <c r="AB425" s="3"/>
    </row>
  </sheetData>
  <autoFilter ref="A1:AB425" xr:uid="{00000000-0009-0000-0000-000000000000}"/>
  <phoneticPr fontId="13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zoomScaleNormal="100" workbookViewId="0"/>
  </sheetViews>
  <sheetFormatPr defaultColWidth="8.6640625" defaultRowHeight="14.25"/>
  <cols>
    <col min="1" max="1" width="46" customWidth="1"/>
    <col min="2" max="2" width="14" customWidth="1"/>
  </cols>
  <sheetData>
    <row r="1" spans="1:2">
      <c r="A1" s="12" t="s">
        <v>2018</v>
      </c>
    </row>
    <row r="3" spans="1:2">
      <c r="A3" s="13" t="s">
        <v>2019</v>
      </c>
      <c r="B3" s="13" t="s">
        <v>2020</v>
      </c>
    </row>
    <row r="4" spans="1:2">
      <c r="A4" s="4" t="s">
        <v>2021</v>
      </c>
      <c r="B4" s="14">
        <v>30</v>
      </c>
    </row>
    <row r="5" spans="1:2">
      <c r="A5" s="4" t="s">
        <v>2022</v>
      </c>
      <c r="B5" s="14">
        <v>150</v>
      </c>
    </row>
    <row r="6" spans="1:2">
      <c r="A6" s="4" t="s">
        <v>2023</v>
      </c>
      <c r="B6" s="14">
        <v>150</v>
      </c>
    </row>
    <row r="7" spans="1:2">
      <c r="A7" s="4" t="s">
        <v>2024</v>
      </c>
      <c r="B7" s="15">
        <v>1000</v>
      </c>
    </row>
    <row r="8" spans="1:2">
      <c r="A8" s="4" t="s">
        <v>2025</v>
      </c>
      <c r="B8" s="14">
        <v>600</v>
      </c>
    </row>
    <row r="9" spans="1:2">
      <c r="A9" s="4" t="s">
        <v>2026</v>
      </c>
      <c r="B9" s="16">
        <v>0.2</v>
      </c>
    </row>
    <row r="10" spans="1:2">
      <c r="A10" s="4" t="s">
        <v>2027</v>
      </c>
      <c r="B10" s="14">
        <v>15</v>
      </c>
    </row>
    <row r="11" spans="1:2">
      <c r="A11" s="4" t="s">
        <v>2028</v>
      </c>
      <c r="B11" s="17">
        <v>0.1</v>
      </c>
    </row>
    <row r="12" spans="1:2">
      <c r="A12" s="4" t="s">
        <v>2029</v>
      </c>
      <c r="B12" s="14">
        <v>1.5</v>
      </c>
    </row>
    <row r="13" spans="1:2">
      <c r="A13" s="4" t="s">
        <v>2030</v>
      </c>
      <c r="B13" s="17">
        <v>2.5000000000000001E-3</v>
      </c>
    </row>
    <row r="14" spans="1:2">
      <c r="A14" s="4" t="s">
        <v>2031</v>
      </c>
      <c r="B14" s="15">
        <v>100000</v>
      </c>
    </row>
    <row r="15" spans="1:2">
      <c r="A15" s="4" t="s">
        <v>2032</v>
      </c>
      <c r="B15" s="14">
        <v>15</v>
      </c>
    </row>
    <row r="16" spans="1:2">
      <c r="A16" s="4" t="s">
        <v>2033</v>
      </c>
      <c r="B16" s="17">
        <v>0.25</v>
      </c>
    </row>
    <row r="17" spans="1:2">
      <c r="A17" s="4" t="s">
        <v>2034</v>
      </c>
      <c r="B17" s="17">
        <v>0.25</v>
      </c>
    </row>
    <row r="18" spans="1:2">
      <c r="A18" s="4" t="s">
        <v>2035</v>
      </c>
      <c r="B18" s="18">
        <f>B14*B15</f>
        <v>1500000</v>
      </c>
    </row>
    <row r="20" spans="1:2">
      <c r="A20" s="19" t="s">
        <v>2036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/>
  <cols>
    <col min="1" max="1" width="8" customWidth="1"/>
    <col min="2" max="2" width="10" customWidth="1"/>
    <col min="3" max="3" width="9" customWidth="1"/>
    <col min="4" max="4" width="12" customWidth="1"/>
    <col min="5" max="8" width="11" customWidth="1"/>
    <col min="9" max="9" width="16" customWidth="1"/>
    <col min="10" max="11" width="13" customWidth="1"/>
  </cols>
  <sheetData>
    <row r="1" spans="1:11" ht="30" customHeight="1">
      <c r="A1" s="2" t="s">
        <v>2</v>
      </c>
      <c r="B1" s="2" t="s">
        <v>2037</v>
      </c>
      <c r="C1" s="2" t="s">
        <v>2038</v>
      </c>
      <c r="D1" s="2" t="s">
        <v>2039</v>
      </c>
      <c r="E1" s="2" t="s">
        <v>2040</v>
      </c>
      <c r="F1" s="2" t="s">
        <v>2041</v>
      </c>
      <c r="G1" s="2" t="s">
        <v>2042</v>
      </c>
      <c r="H1" s="2" t="s">
        <v>2043</v>
      </c>
      <c r="I1" s="2" t="s">
        <v>2044</v>
      </c>
      <c r="J1" s="2" t="s">
        <v>2045</v>
      </c>
      <c r="K1" s="2" t="s">
        <v>2046</v>
      </c>
    </row>
    <row r="2" spans="1:11">
      <c r="A2" s="4" t="s">
        <v>30</v>
      </c>
      <c r="B2" s="4" t="s">
        <v>31</v>
      </c>
      <c r="C2" s="3">
        <f>COUNTIFS(구역!$C$2:$C$425,A2,구역!$D$2:$D$425,B2)</f>
        <v>25</v>
      </c>
      <c r="D2" s="20">
        <f>SUMIFS(구역!$H$2:$H$425,구역!$C$2:$C$425,A2,구역!$D$2:$D$425,B2)</f>
        <v>927.90000000000009</v>
      </c>
      <c r="E2" s="7">
        <f>SUMIFS(구역!$O$2:$O$425,구역!$C$2:$C$425,A2,구역!$D$2:$D$425,B2)</f>
        <v>0</v>
      </c>
      <c r="F2" s="7">
        <f>SUMIFS(구역!$P$2:$P$425,구역!$C$2:$C$425,A2,구역!$D$2:$D$425,B2)</f>
        <v>0</v>
      </c>
      <c r="G2" s="7">
        <f>SUMIFS(구역!$Q$2:$Q$425,구역!$C$2:$C$425,A2,구역!$D$2:$D$425,B2)</f>
        <v>4</v>
      </c>
      <c r="H2" s="7">
        <f>SUMIFS(구역!$R$2:$R$425,구역!$C$2:$C$425,A2,구역!$D$2:$D$425,B2)</f>
        <v>32</v>
      </c>
      <c r="I2" s="7">
        <f>SUMIFS(구역!$X$2:$X$425,구역!$C$2:$C$425,A2,구역!$D$2:$D$425,B2)</f>
        <v>52717</v>
      </c>
      <c r="J2" s="7">
        <f>SUMIFS(구역!$Z$2:$Z$425,구역!$C$2:$C$425,A2,구역!$D$2:$D$425,B2)</f>
        <v>-927.90000000000009</v>
      </c>
      <c r="K2" s="3">
        <f>COUNTIFS(구역!$C$2:$C$425,A2,구역!$D$2:$D$425,B2,구역!$W$2:$W$425,"?*")</f>
        <v>0</v>
      </c>
    </row>
    <row r="3" spans="1:11">
      <c r="A3" s="4" t="s">
        <v>136</v>
      </c>
      <c r="B3" s="4" t="s">
        <v>31</v>
      </c>
      <c r="C3" s="3">
        <f>COUNTIFS(구역!$C$2:$C$425,A3,구역!$D$2:$D$425,B3)</f>
        <v>16</v>
      </c>
      <c r="D3" s="20">
        <f>SUMIFS(구역!$H$2:$H$425,구역!$C$2:$C$425,A3,구역!$D$2:$D$425,B3)</f>
        <v>322.90000000000003</v>
      </c>
      <c r="E3" s="7">
        <f>SUMIFS(구역!$O$2:$O$425,구역!$C$2:$C$425,A3,구역!$D$2:$D$425,B3)</f>
        <v>2</v>
      </c>
      <c r="F3" s="7">
        <f>SUMIFS(구역!$P$2:$P$425,구역!$C$2:$C$425,A3,구역!$D$2:$D$425,B3)</f>
        <v>12</v>
      </c>
      <c r="G3" s="7">
        <f>SUMIFS(구역!$Q$2:$Q$425,구역!$C$2:$C$425,A3,구역!$D$2:$D$425,B3)</f>
        <v>5</v>
      </c>
      <c r="H3" s="7">
        <f>SUMIFS(구역!$R$2:$R$425,구역!$C$2:$C$425,A3,구역!$D$2:$D$425,B3)</f>
        <v>19</v>
      </c>
      <c r="I3" s="7">
        <f>SUMIFS(구역!$X$2:$X$425,구역!$C$2:$C$425,A3,구역!$D$2:$D$425,B3)</f>
        <v>29427</v>
      </c>
      <c r="J3" s="7">
        <f>SUMIFS(구역!$Z$2:$Z$425,구역!$C$2:$C$425,A3,구역!$D$2:$D$425,B3)</f>
        <v>-100.89999999999996</v>
      </c>
      <c r="K3" s="3">
        <f>COUNTIFS(구역!$C$2:$C$425,A3,구역!$D$2:$D$425,B3,구역!$W$2:$W$425,"?*")</f>
        <v>3</v>
      </c>
    </row>
    <row r="4" spans="1:11">
      <c r="A4" s="4" t="s">
        <v>210</v>
      </c>
      <c r="B4" s="4" t="s">
        <v>31</v>
      </c>
      <c r="C4" s="3">
        <f>COUNTIFS(구역!$C$2:$C$425,A4,구역!$D$2:$D$425,B4)</f>
        <v>9</v>
      </c>
      <c r="D4" s="20">
        <f>SUMIFS(구역!$H$2:$H$425,구역!$C$2:$C$425,A4,구역!$D$2:$D$425,B4)</f>
        <v>234.69999999999996</v>
      </c>
      <c r="E4" s="7">
        <f>SUMIFS(구역!$O$2:$O$425,구역!$C$2:$C$425,A4,구역!$D$2:$D$425,B4)</f>
        <v>3</v>
      </c>
      <c r="F4" s="7">
        <f>SUMIFS(구역!$P$2:$P$425,구역!$C$2:$C$425,A4,구역!$D$2:$D$425,B4)</f>
        <v>0</v>
      </c>
      <c r="G4" s="7">
        <f>SUMIFS(구역!$Q$2:$Q$425,구역!$C$2:$C$425,A4,구역!$D$2:$D$425,B4)</f>
        <v>6</v>
      </c>
      <c r="H4" s="7">
        <f>SUMIFS(구역!$R$2:$R$425,구역!$C$2:$C$425,A4,구역!$D$2:$D$425,B4)</f>
        <v>10</v>
      </c>
      <c r="I4" s="7">
        <f>SUMIFS(구역!$X$2:$X$425,구역!$C$2:$C$425,A4,구역!$D$2:$D$425,B4)</f>
        <v>20431</v>
      </c>
      <c r="J4" s="7">
        <f>SUMIFS(구역!$Z$2:$Z$425,구역!$C$2:$C$425,A4,구역!$D$2:$D$425,B4)</f>
        <v>-183.7</v>
      </c>
      <c r="K4" s="3">
        <f>COUNTIFS(구역!$C$2:$C$425,A4,구역!$D$2:$D$425,B4,구역!$W$2:$W$425,"?*")</f>
        <v>0</v>
      </c>
    </row>
    <row r="5" spans="1:11">
      <c r="A5" s="4" t="s">
        <v>247</v>
      </c>
      <c r="B5" s="4" t="s">
        <v>31</v>
      </c>
      <c r="C5" s="3">
        <f>COUNTIFS(구역!$C$2:$C$425,A5,구역!$D$2:$D$425,B5)</f>
        <v>10</v>
      </c>
      <c r="D5" s="20">
        <f>SUMIFS(구역!$H$2:$H$425,구역!$C$2:$C$425,A5,구역!$D$2:$D$425,B5)</f>
        <v>304.69999999999993</v>
      </c>
      <c r="E5" s="7">
        <f>SUMIFS(구역!$O$2:$O$425,구역!$C$2:$C$425,A5,구역!$D$2:$D$425,B5)</f>
        <v>2</v>
      </c>
      <c r="F5" s="7">
        <f>SUMIFS(구역!$P$2:$P$425,구역!$C$2:$C$425,A5,구역!$D$2:$D$425,B5)</f>
        <v>7</v>
      </c>
      <c r="G5" s="7">
        <f>SUMIFS(구역!$Q$2:$Q$425,구역!$C$2:$C$425,A5,구역!$D$2:$D$425,B5)</f>
        <v>8</v>
      </c>
      <c r="H5" s="7">
        <f>SUMIFS(구역!$R$2:$R$425,구역!$C$2:$C$425,A5,구역!$D$2:$D$425,B5)</f>
        <v>10</v>
      </c>
      <c r="I5" s="7">
        <f>SUMIFS(구역!$X$2:$X$425,구역!$C$2:$C$425,A5,구역!$D$2:$D$425,B5)</f>
        <v>25591</v>
      </c>
      <c r="J5" s="7">
        <f>SUMIFS(구역!$Z$2:$Z$425,구역!$C$2:$C$425,A5,구역!$D$2:$D$425,B5)</f>
        <v>-163.69999999999999</v>
      </c>
      <c r="K5" s="3">
        <f>COUNTIFS(구역!$C$2:$C$425,A5,구역!$D$2:$D$425,B5,구역!$W$2:$W$425,"?*")</f>
        <v>1</v>
      </c>
    </row>
    <row r="6" spans="1:11">
      <c r="A6" s="4" t="s">
        <v>291</v>
      </c>
      <c r="B6" s="4" t="s">
        <v>31</v>
      </c>
      <c r="C6" s="3">
        <f>COUNTIFS(구역!$C$2:$C$425,A6,구역!$D$2:$D$425,B6)</f>
        <v>5</v>
      </c>
      <c r="D6" s="20">
        <f>SUMIFS(구역!$H$2:$H$425,구역!$C$2:$C$425,A6,구역!$D$2:$D$425,B6)</f>
        <v>138.4</v>
      </c>
      <c r="E6" s="7">
        <f>SUMIFS(구역!$O$2:$O$425,구역!$C$2:$C$425,A6,구역!$D$2:$D$425,B6)</f>
        <v>1</v>
      </c>
      <c r="F6" s="7">
        <f>SUMIFS(구역!$P$2:$P$425,구역!$C$2:$C$425,A6,구역!$D$2:$D$425,B6)</f>
        <v>0</v>
      </c>
      <c r="G6" s="7">
        <f>SUMIFS(구역!$Q$2:$Q$425,구역!$C$2:$C$425,A6,구역!$D$2:$D$425,B6)</f>
        <v>3</v>
      </c>
      <c r="H6" s="7">
        <f>SUMIFS(구역!$R$2:$R$425,구역!$C$2:$C$425,A6,구역!$D$2:$D$425,B6)</f>
        <v>6</v>
      </c>
      <c r="I6" s="7">
        <f>SUMIFS(구역!$X$2:$X$425,구역!$C$2:$C$425,A6,구역!$D$2:$D$425,B6)</f>
        <v>11542</v>
      </c>
      <c r="J6" s="7">
        <f>SUMIFS(구역!$Z$2:$Z$425,구역!$C$2:$C$425,A6,구역!$D$2:$D$425,B6)</f>
        <v>-123.4</v>
      </c>
      <c r="K6" s="3">
        <f>COUNTIFS(구역!$C$2:$C$425,A6,구역!$D$2:$D$425,B6,구역!$W$2:$W$425,"?*")</f>
        <v>0</v>
      </c>
    </row>
    <row r="7" spans="1:11">
      <c r="A7" s="4" t="s">
        <v>313</v>
      </c>
      <c r="B7" s="4" t="s">
        <v>31</v>
      </c>
      <c r="C7" s="3">
        <f>COUNTIFS(구역!$C$2:$C$425,A7,구역!$D$2:$D$425,B7)</f>
        <v>5</v>
      </c>
      <c r="D7" s="20">
        <f>SUMIFS(구역!$H$2:$H$425,구역!$C$2:$C$425,A7,구역!$D$2:$D$425,B7)</f>
        <v>144.29999999999998</v>
      </c>
      <c r="E7" s="7">
        <f>SUMIFS(구역!$O$2:$O$425,구역!$C$2:$C$425,A7,구역!$D$2:$D$425,B7)</f>
        <v>0</v>
      </c>
      <c r="F7" s="7">
        <f>SUMIFS(구역!$P$2:$P$425,구역!$C$2:$C$425,A7,구역!$D$2:$D$425,B7)</f>
        <v>0</v>
      </c>
      <c r="G7" s="7">
        <f>SUMIFS(구역!$Q$2:$Q$425,구역!$C$2:$C$425,A7,구역!$D$2:$D$425,B7)</f>
        <v>3</v>
      </c>
      <c r="H7" s="7">
        <f>SUMIFS(구역!$R$2:$R$425,구역!$C$2:$C$425,A7,구역!$D$2:$D$425,B7)</f>
        <v>7</v>
      </c>
      <c r="I7" s="7">
        <f>SUMIFS(구역!$X$2:$X$425,구역!$C$2:$C$425,A7,구역!$D$2:$D$425,B7)</f>
        <v>12409</v>
      </c>
      <c r="J7" s="7">
        <f>SUMIFS(구역!$Z$2:$Z$425,구역!$C$2:$C$425,A7,구역!$D$2:$D$425,B7)</f>
        <v>-144.29999999999998</v>
      </c>
      <c r="K7" s="3">
        <f>COUNTIFS(구역!$C$2:$C$425,A7,구역!$D$2:$D$425,B7,구역!$W$2:$W$425,"?*")</f>
        <v>0</v>
      </c>
    </row>
    <row r="8" spans="1:11">
      <c r="A8" s="4" t="s">
        <v>335</v>
      </c>
      <c r="B8" s="4" t="s">
        <v>31</v>
      </c>
      <c r="C8" s="3">
        <f>COUNTIFS(구역!$C$2:$C$425,A8,구역!$D$2:$D$425,B8)</f>
        <v>5</v>
      </c>
      <c r="D8" s="20">
        <f>SUMIFS(구역!$H$2:$H$425,구역!$C$2:$C$425,A8,구역!$D$2:$D$425,B8)</f>
        <v>108.6</v>
      </c>
      <c r="E8" s="7">
        <f>SUMIFS(구역!$O$2:$O$425,구역!$C$2:$C$425,A8,구역!$D$2:$D$425,B8)</f>
        <v>1</v>
      </c>
      <c r="F8" s="7">
        <f>SUMIFS(구역!$P$2:$P$425,구역!$C$2:$C$425,A8,구역!$D$2:$D$425,B8)</f>
        <v>3</v>
      </c>
      <c r="G8" s="7">
        <f>SUMIFS(구역!$Q$2:$Q$425,구역!$C$2:$C$425,A8,구역!$D$2:$D$425,B8)</f>
        <v>9</v>
      </c>
      <c r="H8" s="7">
        <f>SUMIFS(구역!$R$2:$R$425,구역!$C$2:$C$425,A8,구역!$D$2:$D$425,B8)</f>
        <v>6</v>
      </c>
      <c r="I8" s="7">
        <f>SUMIFS(구역!$X$2:$X$425,구역!$C$2:$C$425,A8,구역!$D$2:$D$425,B8)</f>
        <v>18298</v>
      </c>
      <c r="J8" s="7">
        <f>SUMIFS(구역!$Z$2:$Z$425,구역!$C$2:$C$425,A8,구역!$D$2:$D$425,B8)</f>
        <v>-48.600000000000009</v>
      </c>
      <c r="K8" s="3">
        <f>COUNTIFS(구역!$C$2:$C$425,A8,구역!$D$2:$D$425,B8,구역!$W$2:$W$425,"?*")</f>
        <v>1</v>
      </c>
    </row>
    <row r="9" spans="1:11">
      <c r="A9" s="4" t="s">
        <v>360</v>
      </c>
      <c r="B9" s="4" t="s">
        <v>31</v>
      </c>
      <c r="C9" s="3">
        <f>COUNTIFS(구역!$C$2:$C$425,A9,구역!$D$2:$D$425,B9)</f>
        <v>1</v>
      </c>
      <c r="D9" s="20">
        <f>SUMIFS(구역!$H$2:$H$425,구역!$C$2:$C$425,A9,구역!$D$2:$D$425,B9)</f>
        <v>39.1</v>
      </c>
      <c r="E9" s="7">
        <f>SUMIFS(구역!$O$2:$O$425,구역!$C$2:$C$425,A9,구역!$D$2:$D$425,B9)</f>
        <v>1</v>
      </c>
      <c r="F9" s="7">
        <f>SUMIFS(구역!$P$2:$P$425,구역!$C$2:$C$425,A9,구역!$D$2:$D$425,B9)</f>
        <v>0</v>
      </c>
      <c r="G9" s="7">
        <f>SUMIFS(구역!$Q$2:$Q$425,구역!$C$2:$C$425,A9,구역!$D$2:$D$425,B9)</f>
        <v>1</v>
      </c>
      <c r="H9" s="7">
        <f>SUMIFS(구역!$R$2:$R$425,구역!$C$2:$C$425,A9,구역!$D$2:$D$425,B9)</f>
        <v>2</v>
      </c>
      <c r="I9" s="7">
        <f>SUMIFS(구역!$X$2:$X$425,구역!$C$2:$C$425,A9,구역!$D$2:$D$425,B9)</f>
        <v>3763</v>
      </c>
      <c r="J9" s="7">
        <f>SUMIFS(구역!$Z$2:$Z$425,구역!$C$2:$C$425,A9,구역!$D$2:$D$425,B9)</f>
        <v>-24.1</v>
      </c>
      <c r="K9" s="3">
        <f>COUNTIFS(구역!$C$2:$C$425,A9,구역!$D$2:$D$425,B9,구역!$W$2:$W$425,"?*")</f>
        <v>1</v>
      </c>
    </row>
    <row r="10" spans="1:11">
      <c r="A10" s="4" t="s">
        <v>34</v>
      </c>
      <c r="B10" s="4" t="s">
        <v>31</v>
      </c>
      <c r="C10" s="3">
        <f>COUNTIFS(구역!$C$2:$C$425,A10,구역!$D$2:$D$425,B10)</f>
        <v>31</v>
      </c>
      <c r="D10" s="20">
        <f>SUMIFS(구역!$H$2:$H$425,구역!$C$2:$C$425,A10,구역!$D$2:$D$425,B10)</f>
        <v>1377.2</v>
      </c>
      <c r="E10" s="7">
        <f>SUMIFS(구역!$O$2:$O$425,구역!$C$2:$C$425,A10,구역!$D$2:$D$425,B10)</f>
        <v>21</v>
      </c>
      <c r="F10" s="7">
        <f>SUMIFS(구역!$P$2:$P$425,구역!$C$2:$C$425,A10,구역!$D$2:$D$425,B10)</f>
        <v>3</v>
      </c>
      <c r="G10" s="7">
        <f>SUMIFS(구역!$Q$2:$Q$425,구역!$C$2:$C$425,A10,구역!$D$2:$D$425,B10)</f>
        <v>36</v>
      </c>
      <c r="H10" s="7">
        <f>SUMIFS(구역!$R$2:$R$425,구역!$C$2:$C$425,A10,구역!$D$2:$D$425,B10)</f>
        <v>33</v>
      </c>
      <c r="I10" s="7">
        <f>SUMIFS(구역!$X$2:$X$425,구역!$C$2:$C$425,A10,구역!$D$2:$D$425,B10)</f>
        <v>105356</v>
      </c>
      <c r="J10" s="7">
        <f>SUMIFS(구역!$Z$2:$Z$425,구역!$C$2:$C$425,A10,구역!$D$2:$D$425,B10)</f>
        <v>-993.2</v>
      </c>
      <c r="K10" s="3">
        <f>COUNTIFS(구역!$C$2:$C$425,A10,구역!$D$2:$D$425,B10,구역!$W$2:$W$425,"?*")</f>
        <v>11</v>
      </c>
    </row>
    <row r="11" spans="1:11">
      <c r="A11" s="4" t="s">
        <v>501</v>
      </c>
      <c r="B11" s="4" t="s">
        <v>31</v>
      </c>
      <c r="C11" s="3">
        <f>COUNTIFS(구역!$C$2:$C$425,A11,구역!$D$2:$D$425,B11)</f>
        <v>16</v>
      </c>
      <c r="D11" s="20">
        <f>SUMIFS(구역!$H$2:$H$425,구역!$C$2:$C$425,A11,구역!$D$2:$D$425,B11)</f>
        <v>144</v>
      </c>
      <c r="E11" s="7">
        <f>SUMIFS(구역!$O$2:$O$425,구역!$C$2:$C$425,A11,구역!$D$2:$D$425,B11)</f>
        <v>14</v>
      </c>
      <c r="F11" s="7">
        <f>SUMIFS(구역!$P$2:$P$425,구역!$C$2:$C$425,A11,구역!$D$2:$D$425,B11)</f>
        <v>6</v>
      </c>
      <c r="G11" s="7">
        <f>SUMIFS(구역!$Q$2:$Q$425,구역!$C$2:$C$425,A11,구역!$D$2:$D$425,B11)</f>
        <v>5</v>
      </c>
      <c r="H11" s="7">
        <f>SUMIFS(구역!$R$2:$R$425,구역!$C$2:$C$425,A11,구역!$D$2:$D$425,B11)</f>
        <v>7</v>
      </c>
      <c r="I11" s="7">
        <f>SUMIFS(구역!$X$2:$X$425,구역!$C$2:$C$425,A11,구역!$D$2:$D$425,B11)</f>
        <v>16640</v>
      </c>
      <c r="J11" s="7">
        <f>SUMIFS(구역!$Z$2:$Z$425,구역!$C$2:$C$425,A11,구역!$D$2:$D$425,B11)</f>
        <v>168</v>
      </c>
      <c r="K11" s="3">
        <f>COUNTIFS(구역!$C$2:$C$425,A11,구역!$D$2:$D$425,B11,구역!$W$2:$W$425,"?*")</f>
        <v>15</v>
      </c>
    </row>
    <row r="12" spans="1:11">
      <c r="A12" s="4" t="s">
        <v>501</v>
      </c>
      <c r="B12" s="4" t="s">
        <v>517</v>
      </c>
      <c r="C12" s="3">
        <f>COUNTIFS(구역!$C$2:$C$425,A12,구역!$D$2:$D$425,B12)</f>
        <v>2</v>
      </c>
      <c r="D12" s="20">
        <f>SUMIFS(구역!$H$2:$H$425,구역!$C$2:$C$425,A12,구역!$D$2:$D$425,B12)</f>
        <v>25.200000000000003</v>
      </c>
      <c r="E12" s="7">
        <f>SUMIFS(구역!$O$2:$O$425,구역!$C$2:$C$425,A12,구역!$D$2:$D$425,B12)</f>
        <v>3</v>
      </c>
      <c r="F12" s="7">
        <f>SUMIFS(구역!$P$2:$P$425,구역!$C$2:$C$425,A12,구역!$D$2:$D$425,B12)</f>
        <v>2</v>
      </c>
      <c r="G12" s="7">
        <f>SUMIFS(구역!$Q$2:$Q$425,구역!$C$2:$C$425,A12,구역!$D$2:$D$425,B12)</f>
        <v>0</v>
      </c>
      <c r="H12" s="7">
        <f>SUMIFS(구역!$R$2:$R$425,구역!$C$2:$C$425,A12,구역!$D$2:$D$425,B12)</f>
        <v>0</v>
      </c>
      <c r="I12" s="7">
        <f>SUMIFS(구역!$X$2:$X$425,구역!$C$2:$C$425,A12,구역!$D$2:$D$425,B12)</f>
        <v>1626</v>
      </c>
      <c r="J12" s="7">
        <f>SUMIFS(구역!$Z$2:$Z$425,구역!$C$2:$C$425,A12,구역!$D$2:$D$425,B12)</f>
        <v>61.8</v>
      </c>
      <c r="K12" s="3">
        <f>COUNTIFS(구역!$C$2:$C$425,A12,구역!$D$2:$D$425,B12,구역!$W$2:$W$425,"?*")</f>
        <v>2</v>
      </c>
    </row>
    <row r="13" spans="1:11">
      <c r="A13" s="4" t="s">
        <v>501</v>
      </c>
      <c r="B13" s="4" t="s">
        <v>597</v>
      </c>
      <c r="C13" s="3">
        <f>COUNTIFS(구역!$C$2:$C$425,A13,구역!$D$2:$D$425,B13)</f>
        <v>15</v>
      </c>
      <c r="D13" s="20">
        <f>SUMIFS(구역!$H$2:$H$425,구역!$C$2:$C$425,A13,구역!$D$2:$D$425,B13)</f>
        <v>203.2</v>
      </c>
      <c r="E13" s="7">
        <f>SUMIFS(구역!$O$2:$O$425,구역!$C$2:$C$425,A13,구역!$D$2:$D$425,B13)</f>
        <v>17</v>
      </c>
      <c r="F13" s="7">
        <f>SUMIFS(구역!$P$2:$P$425,구역!$C$2:$C$425,A13,구역!$D$2:$D$425,B13)</f>
        <v>6</v>
      </c>
      <c r="G13" s="7">
        <f>SUMIFS(구역!$Q$2:$Q$425,구역!$C$2:$C$425,A13,구역!$D$2:$D$425,B13)</f>
        <v>2</v>
      </c>
      <c r="H13" s="7">
        <f>SUMIFS(구역!$R$2:$R$425,구역!$C$2:$C$425,A13,구역!$D$2:$D$425,B13)</f>
        <v>3</v>
      </c>
      <c r="I13" s="7">
        <f>SUMIFS(구역!$X$2:$X$425,구역!$C$2:$C$425,A13,구역!$D$2:$D$425,B13)</f>
        <v>14166</v>
      </c>
      <c r="J13" s="7">
        <f>SUMIFS(구역!$Z$2:$Z$425,구역!$C$2:$C$425,A13,구역!$D$2:$D$425,B13)</f>
        <v>159.80000000000001</v>
      </c>
      <c r="K13" s="3">
        <f>COUNTIFS(구역!$C$2:$C$425,A13,구역!$D$2:$D$425,B13,구역!$W$2:$W$425,"?*")</f>
        <v>8</v>
      </c>
    </row>
    <row r="14" spans="1:11">
      <c r="A14" s="4" t="s">
        <v>670</v>
      </c>
      <c r="B14" s="4" t="s">
        <v>31</v>
      </c>
      <c r="C14" s="3">
        <f>COUNTIFS(구역!$C$2:$C$425,A14,구역!$D$2:$D$425,B14)</f>
        <v>11</v>
      </c>
      <c r="D14" s="20">
        <f>SUMIFS(구역!$H$2:$H$425,구역!$C$2:$C$425,A14,구역!$D$2:$D$425,B14)</f>
        <v>160.19999999999996</v>
      </c>
      <c r="E14" s="7">
        <f>SUMIFS(구역!$O$2:$O$425,구역!$C$2:$C$425,A14,구역!$D$2:$D$425,B14)</f>
        <v>15</v>
      </c>
      <c r="F14" s="7">
        <f>SUMIFS(구역!$P$2:$P$425,구역!$C$2:$C$425,A14,구역!$D$2:$D$425,B14)</f>
        <v>0</v>
      </c>
      <c r="G14" s="7">
        <f>SUMIFS(구역!$Q$2:$Q$425,구역!$C$2:$C$425,A14,구역!$D$2:$D$425,B14)</f>
        <v>7</v>
      </c>
      <c r="H14" s="7">
        <f>SUMIFS(구역!$R$2:$R$425,구역!$C$2:$C$425,A14,구역!$D$2:$D$425,B14)</f>
        <v>6</v>
      </c>
      <c r="I14" s="7">
        <f>SUMIFS(구역!$X$2:$X$425,구역!$C$2:$C$425,A14,구역!$D$2:$D$425,B14)</f>
        <v>18536</v>
      </c>
      <c r="J14" s="7">
        <f>SUMIFS(구역!$Z$2:$Z$425,구역!$C$2:$C$425,A14,구역!$D$2:$D$425,B14)</f>
        <v>88.8</v>
      </c>
      <c r="K14" s="3">
        <f>COUNTIFS(구역!$C$2:$C$425,A14,구역!$D$2:$D$425,B14,구역!$W$2:$W$425,"?*")</f>
        <v>9</v>
      </c>
    </row>
    <row r="15" spans="1:11">
      <c r="A15" s="4" t="s">
        <v>725</v>
      </c>
      <c r="B15" s="4" t="s">
        <v>31</v>
      </c>
      <c r="C15" s="3">
        <f>COUNTIFS(구역!$C$2:$C$425,A15,구역!$D$2:$D$425,B15)</f>
        <v>15</v>
      </c>
      <c r="D15" s="20">
        <f>SUMIFS(구역!$H$2:$H$425,구역!$C$2:$C$425,A15,구역!$D$2:$D$425,B15)</f>
        <v>214</v>
      </c>
      <c r="E15" s="7">
        <f>SUMIFS(구역!$O$2:$O$425,구역!$C$2:$C$425,A15,구역!$D$2:$D$425,B15)</f>
        <v>23</v>
      </c>
      <c r="F15" s="7">
        <f>SUMIFS(구역!$P$2:$P$425,구역!$C$2:$C$425,A15,구역!$D$2:$D$425,B15)</f>
        <v>9</v>
      </c>
      <c r="G15" s="7">
        <f>SUMIFS(구역!$Q$2:$Q$425,구역!$C$2:$C$425,A15,구역!$D$2:$D$425,B15)</f>
        <v>11</v>
      </c>
      <c r="H15" s="7">
        <f>SUMIFS(구역!$R$2:$R$425,구역!$C$2:$C$425,A15,구역!$D$2:$D$425,B15)</f>
        <v>10</v>
      </c>
      <c r="I15" s="7">
        <f>SUMIFS(구역!$X$2:$X$425,구역!$C$2:$C$425,A15,구역!$D$2:$D$425,B15)</f>
        <v>30720</v>
      </c>
      <c r="J15" s="7">
        <f>SUMIFS(구역!$Z$2:$Z$425,구역!$C$2:$C$425,A15,구역!$D$2:$D$425,B15)</f>
        <v>331.99999999999994</v>
      </c>
      <c r="K15" s="3">
        <f>COUNTIFS(구역!$C$2:$C$425,A15,구역!$D$2:$D$425,B15,구역!$W$2:$W$425,"?*")</f>
        <v>13</v>
      </c>
    </row>
    <row r="16" spans="1:11">
      <c r="A16" s="4" t="s">
        <v>804</v>
      </c>
      <c r="B16" s="4" t="s">
        <v>31</v>
      </c>
      <c r="C16" s="3">
        <f>COUNTIFS(구역!$C$2:$C$425,A16,구역!$D$2:$D$425,B16)</f>
        <v>14</v>
      </c>
      <c r="D16" s="20">
        <f>SUMIFS(구역!$H$2:$H$425,구역!$C$2:$C$425,A16,구역!$D$2:$D$425,B16)</f>
        <v>171.89999999999998</v>
      </c>
      <c r="E16" s="7">
        <f>SUMIFS(구역!$O$2:$O$425,구역!$C$2:$C$425,A16,구역!$D$2:$D$425,B16)</f>
        <v>19</v>
      </c>
      <c r="F16" s="7">
        <f>SUMIFS(구역!$P$2:$P$425,구역!$C$2:$C$425,A16,구역!$D$2:$D$425,B16)</f>
        <v>6</v>
      </c>
      <c r="G16" s="7">
        <f>SUMIFS(구역!$Q$2:$Q$425,구역!$C$2:$C$425,A16,구역!$D$2:$D$425,B16)</f>
        <v>4</v>
      </c>
      <c r="H16" s="7">
        <f>SUMIFS(구역!$R$2:$R$425,구역!$C$2:$C$425,A16,구역!$D$2:$D$425,B16)</f>
        <v>8</v>
      </c>
      <c r="I16" s="7">
        <f>SUMIFS(구역!$X$2:$X$425,구역!$C$2:$C$425,A16,구역!$D$2:$D$425,B16)</f>
        <v>18427</v>
      </c>
      <c r="J16" s="7">
        <f>SUMIFS(구역!$Z$2:$Z$425,구역!$C$2:$C$425,A16,구역!$D$2:$D$425,B16)</f>
        <v>251.1</v>
      </c>
      <c r="K16" s="3">
        <f>COUNTIFS(구역!$C$2:$C$425,A16,구역!$D$2:$D$425,B16,구역!$W$2:$W$425,"?*")</f>
        <v>12</v>
      </c>
    </row>
    <row r="17" spans="1:11">
      <c r="A17" s="4" t="s">
        <v>873</v>
      </c>
      <c r="B17" s="4" t="s">
        <v>31</v>
      </c>
      <c r="C17" s="3">
        <f>COUNTIFS(구역!$C$2:$C$425,A17,구역!$D$2:$D$425,B17)</f>
        <v>22</v>
      </c>
      <c r="D17" s="20">
        <f>SUMIFS(구역!$H$2:$H$425,구역!$C$2:$C$425,A17,구역!$D$2:$D$425,B17)</f>
        <v>177.40000000000003</v>
      </c>
      <c r="E17" s="7">
        <f>SUMIFS(구역!$O$2:$O$425,구역!$C$2:$C$425,A17,구역!$D$2:$D$425,B17)</f>
        <v>33</v>
      </c>
      <c r="F17" s="7">
        <f>SUMIFS(구역!$P$2:$P$425,구역!$C$2:$C$425,A17,구역!$D$2:$D$425,B17)</f>
        <v>23</v>
      </c>
      <c r="G17" s="7">
        <f>SUMIFS(구역!$Q$2:$Q$425,구역!$C$2:$C$425,A17,구역!$D$2:$D$425,B17)</f>
        <v>8</v>
      </c>
      <c r="H17" s="7">
        <f>SUMIFS(구역!$R$2:$R$425,구역!$C$2:$C$425,A17,구역!$D$2:$D$425,B17)</f>
        <v>6</v>
      </c>
      <c r="I17" s="7">
        <f>SUMIFS(구역!$X$2:$X$425,구역!$C$2:$C$425,A17,구역!$D$2:$D$425,B17)</f>
        <v>27262</v>
      </c>
      <c r="J17" s="7">
        <f>SUMIFS(구역!$Z$2:$Z$425,구역!$C$2:$C$425,A17,구역!$D$2:$D$425,B17)</f>
        <v>776.60000000000014</v>
      </c>
      <c r="K17" s="3">
        <f>COUNTIFS(구역!$C$2:$C$425,A17,구역!$D$2:$D$425,B17,구역!$W$2:$W$425,"?*")</f>
        <v>20</v>
      </c>
    </row>
    <row r="18" spans="1:11">
      <c r="A18" s="4" t="s">
        <v>987</v>
      </c>
      <c r="B18" s="4" t="s">
        <v>31</v>
      </c>
      <c r="C18" s="3">
        <f>COUNTIFS(구역!$C$2:$C$425,A18,구역!$D$2:$D$425,B18)</f>
        <v>22</v>
      </c>
      <c r="D18" s="20">
        <f>SUMIFS(구역!$H$2:$H$425,구역!$C$2:$C$425,A18,구역!$D$2:$D$425,B18)</f>
        <v>249.30000000000004</v>
      </c>
      <c r="E18" s="7">
        <f>SUMIFS(구역!$O$2:$O$425,구역!$C$2:$C$425,A18,구역!$D$2:$D$425,B18)</f>
        <v>31</v>
      </c>
      <c r="F18" s="7">
        <f>SUMIFS(구역!$P$2:$P$425,구역!$C$2:$C$425,A18,구역!$D$2:$D$425,B18)</f>
        <v>9</v>
      </c>
      <c r="G18" s="7">
        <f>SUMIFS(구역!$Q$2:$Q$425,구역!$C$2:$C$425,A18,구역!$D$2:$D$425,B18)</f>
        <v>11</v>
      </c>
      <c r="H18" s="7">
        <f>SUMIFS(구역!$R$2:$R$425,구역!$C$2:$C$425,A18,구역!$D$2:$D$425,B18)</f>
        <v>11</v>
      </c>
      <c r="I18" s="7">
        <f>SUMIFS(구역!$X$2:$X$425,구역!$C$2:$C$425,A18,구역!$D$2:$D$425,B18)</f>
        <v>32659</v>
      </c>
      <c r="J18" s="7">
        <f>SUMIFS(구역!$Z$2:$Z$425,구역!$C$2:$C$425,A18,구역!$D$2:$D$425,B18)</f>
        <v>428.69999999999993</v>
      </c>
      <c r="K18" s="3">
        <f>COUNTIFS(구역!$C$2:$C$425,A18,구역!$D$2:$D$425,B18,구역!$W$2:$W$425,"?*")</f>
        <v>19</v>
      </c>
    </row>
    <row r="19" spans="1:11">
      <c r="A19" s="4" t="s">
        <v>1098</v>
      </c>
      <c r="B19" s="4" t="s">
        <v>31</v>
      </c>
      <c r="C19" s="3">
        <f>COUNTIFS(구역!$C$2:$C$425,A19,구역!$D$2:$D$425,B19)</f>
        <v>18</v>
      </c>
      <c r="D19" s="20">
        <f>SUMIFS(구역!$H$2:$H$425,구역!$C$2:$C$425,A19,구역!$D$2:$D$425,B19)</f>
        <v>319.39999999999998</v>
      </c>
      <c r="E19" s="7">
        <f>SUMIFS(구역!$O$2:$O$425,구역!$C$2:$C$425,A19,구역!$D$2:$D$425,B19)</f>
        <v>23</v>
      </c>
      <c r="F19" s="7">
        <f>SUMIFS(구역!$P$2:$P$425,구역!$C$2:$C$425,A19,구역!$D$2:$D$425,B19)</f>
        <v>11</v>
      </c>
      <c r="G19" s="7">
        <f>SUMIFS(구역!$Q$2:$Q$425,구역!$C$2:$C$425,A19,구역!$D$2:$D$425,B19)</f>
        <v>12</v>
      </c>
      <c r="H19" s="7">
        <f>SUMIFS(구역!$R$2:$R$425,구역!$C$2:$C$425,A19,구역!$D$2:$D$425,B19)</f>
        <v>9</v>
      </c>
      <c r="I19" s="7">
        <f>SUMIFS(구역!$X$2:$X$425,구역!$C$2:$C$425,A19,구역!$D$2:$D$425,B19)</f>
        <v>34122</v>
      </c>
      <c r="J19" s="7">
        <f>SUMIFS(구역!$Z$2:$Z$425,구역!$C$2:$C$425,A19,구역!$D$2:$D$425,B19)</f>
        <v>250.59999999999997</v>
      </c>
      <c r="K19" s="3">
        <f>COUNTIFS(구역!$C$2:$C$425,A19,구역!$D$2:$D$425,B19,구역!$W$2:$W$425,"?*")</f>
        <v>13</v>
      </c>
    </row>
    <row r="20" spans="1:11">
      <c r="A20" s="4" t="s">
        <v>1187</v>
      </c>
      <c r="B20" s="4" t="s">
        <v>31</v>
      </c>
      <c r="C20" s="3">
        <f>COUNTIFS(구역!$C$2:$C$425,A20,구역!$D$2:$D$425,B20)</f>
        <v>2</v>
      </c>
      <c r="D20" s="20">
        <f>SUMIFS(구역!$H$2:$H$425,구역!$C$2:$C$425,A20,구역!$D$2:$D$425,B20)</f>
        <v>66.3</v>
      </c>
      <c r="E20" s="7">
        <f>SUMIFS(구역!$O$2:$O$425,구역!$C$2:$C$425,A20,구역!$D$2:$D$425,B20)</f>
        <v>3</v>
      </c>
      <c r="F20" s="7">
        <f>SUMIFS(구역!$P$2:$P$425,구역!$C$2:$C$425,A20,구역!$D$2:$D$425,B20)</f>
        <v>4</v>
      </c>
      <c r="G20" s="7">
        <f>SUMIFS(구역!$Q$2:$Q$425,구역!$C$2:$C$425,A20,구역!$D$2:$D$425,B20)</f>
        <v>2</v>
      </c>
      <c r="H20" s="7">
        <f>SUMIFS(구역!$R$2:$R$425,구역!$C$2:$C$425,A20,구역!$D$2:$D$425,B20)</f>
        <v>3</v>
      </c>
      <c r="I20" s="7">
        <f>SUMIFS(구역!$X$2:$X$425,구역!$C$2:$C$425,A20,구역!$D$2:$D$425,B20)</f>
        <v>7259</v>
      </c>
      <c r="J20" s="7">
        <f>SUMIFS(구역!$Z$2:$Z$425,구역!$C$2:$C$425,A20,구역!$D$2:$D$425,B20)</f>
        <v>56.7</v>
      </c>
      <c r="K20" s="3">
        <f>COUNTIFS(구역!$C$2:$C$425,A20,구역!$D$2:$D$425,B20,구역!$W$2:$W$425,"?*")</f>
        <v>2</v>
      </c>
    </row>
    <row r="21" spans="1:11">
      <c r="A21" s="4" t="s">
        <v>1199</v>
      </c>
      <c r="B21" s="4" t="s">
        <v>597</v>
      </c>
      <c r="C21" s="3">
        <f>COUNTIFS(구역!$C$2:$C$425,A21,구역!$D$2:$D$425,B21)</f>
        <v>20</v>
      </c>
      <c r="D21" s="20">
        <f>SUMIFS(구역!$H$2:$H$425,구역!$C$2:$C$425,A21,구역!$D$2:$D$425,B21)</f>
        <v>450</v>
      </c>
      <c r="E21" s="7">
        <f>SUMIFS(구역!$O$2:$O$425,구역!$C$2:$C$425,A21,구역!$D$2:$D$425,B21)</f>
        <v>10</v>
      </c>
      <c r="F21" s="7">
        <f>SUMIFS(구역!$P$2:$P$425,구역!$C$2:$C$425,A21,구역!$D$2:$D$425,B21)</f>
        <v>0</v>
      </c>
      <c r="G21" s="7">
        <f>SUMIFS(구역!$Q$2:$Q$425,구역!$C$2:$C$425,A21,구역!$D$2:$D$425,B21)</f>
        <v>13</v>
      </c>
      <c r="H21" s="7">
        <f>SUMIFS(구역!$R$2:$R$425,구역!$C$2:$C$425,A21,구역!$D$2:$D$425,B21)</f>
        <v>25</v>
      </c>
      <c r="I21" s="7">
        <f>SUMIFS(구역!$X$2:$X$425,구역!$C$2:$C$425,A21,구역!$D$2:$D$425,B21)</f>
        <v>45540</v>
      </c>
      <c r="J21" s="7">
        <f>SUMIFS(구역!$Z$2:$Z$425,구역!$C$2:$C$425,A21,구역!$D$2:$D$425,B21)</f>
        <v>-293.99999999999994</v>
      </c>
      <c r="K21" s="3">
        <f>COUNTIFS(구역!$C$2:$C$425,A21,구역!$D$2:$D$425,B21,구역!$W$2:$W$425,"?*")</f>
        <v>3</v>
      </c>
    </row>
    <row r="22" spans="1:11">
      <c r="A22" s="4" t="s">
        <v>1286</v>
      </c>
      <c r="B22" s="4" t="s">
        <v>597</v>
      </c>
      <c r="C22" s="3">
        <f>COUNTIFS(구역!$C$2:$C$425,A22,구역!$D$2:$D$425,B22)</f>
        <v>6</v>
      </c>
      <c r="D22" s="20">
        <f>SUMIFS(구역!$H$2:$H$425,구역!$C$2:$C$425,A22,구역!$D$2:$D$425,B22)</f>
        <v>147.5</v>
      </c>
      <c r="E22" s="7">
        <f>SUMIFS(구역!$O$2:$O$425,구역!$C$2:$C$425,A22,구역!$D$2:$D$425,B22)</f>
        <v>6</v>
      </c>
      <c r="F22" s="7">
        <f>SUMIFS(구역!$P$2:$P$425,구역!$C$2:$C$425,A22,구역!$D$2:$D$425,B22)</f>
        <v>3</v>
      </c>
      <c r="G22" s="7">
        <f>SUMIFS(구역!$Q$2:$Q$425,구역!$C$2:$C$425,A22,구역!$D$2:$D$425,B22)</f>
        <v>5</v>
      </c>
      <c r="H22" s="7">
        <f>SUMIFS(구역!$R$2:$R$425,구역!$C$2:$C$425,A22,구역!$D$2:$D$425,B22)</f>
        <v>5</v>
      </c>
      <c r="I22" s="7">
        <f>SUMIFS(구역!$X$2:$X$425,구역!$C$2:$C$425,A22,구역!$D$2:$D$425,B22)</f>
        <v>14595</v>
      </c>
      <c r="J22" s="7">
        <f>SUMIFS(구역!$Z$2:$Z$425,구역!$C$2:$C$425,A22,구역!$D$2:$D$425,B22)</f>
        <v>5.5</v>
      </c>
      <c r="K22" s="3">
        <f>COUNTIFS(구역!$C$2:$C$425,A22,구역!$D$2:$D$425,B22,구역!$W$2:$W$425,"?*")</f>
        <v>2</v>
      </c>
    </row>
    <row r="23" spans="1:11">
      <c r="A23" s="4" t="s">
        <v>1314</v>
      </c>
      <c r="B23" s="4" t="s">
        <v>597</v>
      </c>
      <c r="C23" s="3">
        <f>COUNTIFS(구역!$C$2:$C$425,A23,구역!$D$2:$D$425,B23)</f>
        <v>2</v>
      </c>
      <c r="D23" s="20">
        <f>SUMIFS(구역!$H$2:$H$425,구역!$C$2:$C$425,A23,구역!$D$2:$D$425,B23)</f>
        <v>29.5</v>
      </c>
      <c r="E23" s="7">
        <f>SUMIFS(구역!$O$2:$O$425,구역!$C$2:$C$425,A23,구역!$D$2:$D$425,B23)</f>
        <v>1</v>
      </c>
      <c r="F23" s="7">
        <f>SUMIFS(구역!$P$2:$P$425,구역!$C$2:$C$425,A23,구역!$D$2:$D$425,B23)</f>
        <v>3</v>
      </c>
      <c r="G23" s="7">
        <f>SUMIFS(구역!$Q$2:$Q$425,구역!$C$2:$C$425,A23,구역!$D$2:$D$425,B23)</f>
        <v>3</v>
      </c>
      <c r="H23" s="7">
        <f>SUMIFS(구역!$R$2:$R$425,구역!$C$2:$C$425,A23,구역!$D$2:$D$425,B23)</f>
        <v>3</v>
      </c>
      <c r="I23" s="7">
        <f>SUMIFS(구역!$X$2:$X$425,구역!$C$2:$C$425,A23,구역!$D$2:$D$425,B23)</f>
        <v>6985</v>
      </c>
      <c r="J23" s="7">
        <f>SUMIFS(구역!$Z$2:$Z$425,구역!$C$2:$C$425,A23,구역!$D$2:$D$425,B23)</f>
        <v>36.5</v>
      </c>
      <c r="K23" s="3">
        <f>COUNTIFS(구역!$C$2:$C$425,A23,구역!$D$2:$D$425,B23,구역!$W$2:$W$425,"?*")</f>
        <v>2</v>
      </c>
    </row>
    <row r="24" spans="1:11">
      <c r="A24" s="4" t="s">
        <v>1329</v>
      </c>
      <c r="B24" s="4" t="s">
        <v>597</v>
      </c>
      <c r="C24" s="3">
        <f>COUNTIFS(구역!$C$2:$C$425,A24,구역!$D$2:$D$425,B24)</f>
        <v>25</v>
      </c>
      <c r="D24" s="20">
        <f>SUMIFS(구역!$H$2:$H$425,구역!$C$2:$C$425,A24,구역!$D$2:$D$425,B24)</f>
        <v>409.3</v>
      </c>
      <c r="E24" s="7">
        <f>SUMIFS(구역!$O$2:$O$425,구역!$C$2:$C$425,A24,구역!$D$2:$D$425,B24)</f>
        <v>33</v>
      </c>
      <c r="F24" s="7">
        <f>SUMIFS(구역!$P$2:$P$425,구역!$C$2:$C$425,A24,구역!$D$2:$D$425,B24)</f>
        <v>10</v>
      </c>
      <c r="G24" s="7">
        <f>SUMIFS(구역!$Q$2:$Q$425,구역!$C$2:$C$425,A24,구역!$D$2:$D$425,B24)</f>
        <v>7</v>
      </c>
      <c r="H24" s="7">
        <f>SUMIFS(구역!$R$2:$R$425,구역!$C$2:$C$425,A24,구역!$D$2:$D$425,B24)</f>
        <v>4</v>
      </c>
      <c r="I24" s="7">
        <f>SUMIFS(구역!$X$2:$X$425,구역!$C$2:$C$425,A24,구역!$D$2:$D$425,B24)</f>
        <v>29709</v>
      </c>
      <c r="J24" s="7">
        <f>SUMIFS(구역!$Z$2:$Z$425,구역!$C$2:$C$425,A24,구역!$D$2:$D$425,B24)</f>
        <v>289.7</v>
      </c>
      <c r="K24" s="3">
        <f>COUNTIFS(구역!$C$2:$C$425,A24,구역!$D$2:$D$425,B24,구역!$W$2:$W$425,"?*")</f>
        <v>8</v>
      </c>
    </row>
    <row r="25" spans="1:11">
      <c r="A25" s="4" t="s">
        <v>1441</v>
      </c>
      <c r="B25" s="4" t="s">
        <v>597</v>
      </c>
      <c r="C25" s="3">
        <f>COUNTIFS(구역!$C$2:$C$425,A25,구역!$D$2:$D$425,B25)</f>
        <v>21</v>
      </c>
      <c r="D25" s="20">
        <f>SUMIFS(구역!$H$2:$H$425,구역!$C$2:$C$425,A25,구역!$D$2:$D$425,B25)</f>
        <v>460.29999999999995</v>
      </c>
      <c r="E25" s="7">
        <f>SUMIFS(구역!$O$2:$O$425,구역!$C$2:$C$425,A25,구역!$D$2:$D$425,B25)</f>
        <v>24</v>
      </c>
      <c r="F25" s="7">
        <f>SUMIFS(구역!$P$2:$P$425,구역!$C$2:$C$425,A25,구역!$D$2:$D$425,B25)</f>
        <v>5</v>
      </c>
      <c r="G25" s="7">
        <f>SUMIFS(구역!$Q$2:$Q$425,구역!$C$2:$C$425,A25,구역!$D$2:$D$425,B25)</f>
        <v>12</v>
      </c>
      <c r="H25" s="7">
        <f>SUMIFS(구역!$R$2:$R$425,구역!$C$2:$C$425,A25,구역!$D$2:$D$425,B25)</f>
        <v>6</v>
      </c>
      <c r="I25" s="7">
        <f>SUMIFS(구역!$X$2:$X$425,구역!$C$2:$C$425,A25,구역!$D$2:$D$425,B25)</f>
        <v>35499</v>
      </c>
      <c r="J25" s="7">
        <f>SUMIFS(구역!$Z$2:$Z$425,구역!$C$2:$C$425,A25,구역!$D$2:$D$425,B25)</f>
        <v>4.6999999999999709</v>
      </c>
      <c r="K25" s="3">
        <f>COUNTIFS(구역!$C$2:$C$425,A25,구역!$D$2:$D$425,B25,구역!$W$2:$W$425,"?*")</f>
        <v>6</v>
      </c>
    </row>
    <row r="26" spans="1:11">
      <c r="A26" s="4" t="s">
        <v>1535</v>
      </c>
      <c r="B26" s="4" t="s">
        <v>597</v>
      </c>
      <c r="C26" s="3">
        <f>COUNTIFS(구역!$C$2:$C$425,A26,구역!$D$2:$D$425,B26)</f>
        <v>21</v>
      </c>
      <c r="D26" s="20">
        <f>SUMIFS(구역!$H$2:$H$425,구역!$C$2:$C$425,A26,구역!$D$2:$D$425,B26)</f>
        <v>355.29999999999995</v>
      </c>
      <c r="E26" s="7">
        <f>SUMIFS(구역!$O$2:$O$425,구역!$C$2:$C$425,A26,구역!$D$2:$D$425,B26)</f>
        <v>29</v>
      </c>
      <c r="F26" s="7">
        <f>SUMIFS(구역!$P$2:$P$425,구역!$C$2:$C$425,A26,구역!$D$2:$D$425,B26)</f>
        <v>0</v>
      </c>
      <c r="G26" s="7">
        <f>SUMIFS(구역!$Q$2:$Q$425,구역!$C$2:$C$425,A26,구역!$D$2:$D$425,B26)</f>
        <v>7</v>
      </c>
      <c r="H26" s="7">
        <f>SUMIFS(구역!$R$2:$R$425,구역!$C$2:$C$425,A26,구역!$D$2:$D$425,B26)</f>
        <v>4</v>
      </c>
      <c r="I26" s="7">
        <f>SUMIFS(구역!$X$2:$X$425,구역!$C$2:$C$425,A26,구역!$D$2:$D$425,B26)</f>
        <v>26389</v>
      </c>
      <c r="J26" s="7">
        <f>SUMIFS(구역!$Z$2:$Z$425,구역!$C$2:$C$425,A26,구역!$D$2:$D$425,B26)</f>
        <v>133.69999999999999</v>
      </c>
      <c r="K26" s="3">
        <f>COUNTIFS(구역!$C$2:$C$425,A26,구역!$D$2:$D$425,B26,구역!$W$2:$W$425,"?*")</f>
        <v>7</v>
      </c>
    </row>
    <row r="27" spans="1:11">
      <c r="A27" s="4" t="s">
        <v>1628</v>
      </c>
      <c r="B27" s="4" t="s">
        <v>517</v>
      </c>
      <c r="C27" s="3">
        <f>COUNTIFS(구역!$C$2:$C$425,A27,구역!$D$2:$D$425,B27)</f>
        <v>1</v>
      </c>
      <c r="D27" s="20">
        <f>SUMIFS(구역!$H$2:$H$425,구역!$C$2:$C$425,A27,구역!$D$2:$D$425,B27)</f>
        <v>24.9</v>
      </c>
      <c r="E27" s="7">
        <f>SUMIFS(구역!$O$2:$O$425,구역!$C$2:$C$425,A27,구역!$D$2:$D$425,B27)</f>
        <v>1</v>
      </c>
      <c r="F27" s="7">
        <f>SUMIFS(구역!$P$2:$P$425,구역!$C$2:$C$425,A27,구역!$D$2:$D$425,B27)</f>
        <v>2</v>
      </c>
      <c r="G27" s="7">
        <f>SUMIFS(구역!$Q$2:$Q$425,구역!$C$2:$C$425,A27,구역!$D$2:$D$425,B27)</f>
        <v>0</v>
      </c>
      <c r="H27" s="7">
        <f>SUMIFS(구역!$R$2:$R$425,구역!$C$2:$C$425,A27,구역!$D$2:$D$425,B27)</f>
        <v>0</v>
      </c>
      <c r="I27" s="7">
        <f>SUMIFS(구역!$X$2:$X$425,구역!$C$2:$C$425,A27,구역!$D$2:$D$425,B27)</f>
        <v>1257</v>
      </c>
      <c r="J27" s="7">
        <f>SUMIFS(구역!$Z$2:$Z$425,구역!$C$2:$C$425,A27,구역!$D$2:$D$425,B27)</f>
        <v>26.1</v>
      </c>
      <c r="K27" s="3">
        <f>COUNTIFS(구역!$C$2:$C$425,A27,구역!$D$2:$D$425,B27,구역!$W$2:$W$425,"?*")</f>
        <v>1</v>
      </c>
    </row>
    <row r="28" spans="1:11">
      <c r="A28" s="4" t="s">
        <v>1628</v>
      </c>
      <c r="B28" s="4" t="s">
        <v>597</v>
      </c>
      <c r="C28" s="3">
        <f>COUNTIFS(구역!$C$2:$C$425,A28,구역!$D$2:$D$425,B28)</f>
        <v>19</v>
      </c>
      <c r="D28" s="20">
        <f>SUMIFS(구역!$H$2:$H$425,구역!$C$2:$C$425,A28,구역!$D$2:$D$425,B28)</f>
        <v>323.5</v>
      </c>
      <c r="E28" s="7">
        <f>SUMIFS(구역!$O$2:$O$425,구역!$C$2:$C$425,A28,구역!$D$2:$D$425,B28)</f>
        <v>34</v>
      </c>
      <c r="F28" s="7">
        <f>SUMIFS(구역!$P$2:$P$425,구역!$C$2:$C$425,A28,구역!$D$2:$D$425,B28)</f>
        <v>13</v>
      </c>
      <c r="G28" s="7">
        <f>SUMIFS(구역!$Q$2:$Q$425,구역!$C$2:$C$425,A28,구역!$D$2:$D$425,B28)</f>
        <v>2</v>
      </c>
      <c r="H28" s="7">
        <f>SUMIFS(구역!$R$2:$R$425,구역!$C$2:$C$425,A28,구역!$D$2:$D$425,B28)</f>
        <v>1</v>
      </c>
      <c r="I28" s="7">
        <f>SUMIFS(구역!$X$2:$X$425,구역!$C$2:$C$425,A28,구역!$D$2:$D$425,B28)</f>
        <v>20715</v>
      </c>
      <c r="J28" s="7">
        <f>SUMIFS(구역!$Z$2:$Z$425,구역!$C$2:$C$425,A28,구역!$D$2:$D$425,B28)</f>
        <v>477.49999999999994</v>
      </c>
      <c r="K28" s="3">
        <f>COUNTIFS(구역!$C$2:$C$425,A28,구역!$D$2:$D$425,B28,구역!$W$2:$W$425,"?*")</f>
        <v>10</v>
      </c>
    </row>
    <row r="29" spans="1:11">
      <c r="A29" s="4" t="s">
        <v>1723</v>
      </c>
      <c r="B29" s="4" t="s">
        <v>597</v>
      </c>
      <c r="C29" s="3">
        <f>COUNTIFS(구역!$C$2:$C$425,A29,구역!$D$2:$D$425,B29)</f>
        <v>20</v>
      </c>
      <c r="D29" s="20">
        <f>SUMIFS(구역!$H$2:$H$425,구역!$C$2:$C$425,A29,구역!$D$2:$D$425,B29)</f>
        <v>459.90000000000009</v>
      </c>
      <c r="E29" s="7">
        <f>SUMIFS(구역!$O$2:$O$425,구역!$C$2:$C$425,A29,구역!$D$2:$D$425,B29)</f>
        <v>22</v>
      </c>
      <c r="F29" s="7">
        <f>SUMIFS(구역!$P$2:$P$425,구역!$C$2:$C$425,A29,구역!$D$2:$D$425,B29)</f>
        <v>11</v>
      </c>
      <c r="G29" s="7">
        <f>SUMIFS(구역!$Q$2:$Q$425,구역!$C$2:$C$425,A29,구역!$D$2:$D$425,B29)</f>
        <v>8</v>
      </c>
      <c r="H29" s="7">
        <f>SUMIFS(구역!$R$2:$R$425,구역!$C$2:$C$425,A29,구역!$D$2:$D$425,B29)</f>
        <v>4</v>
      </c>
      <c r="I29" s="7">
        <f>SUMIFS(구역!$X$2:$X$425,구역!$C$2:$C$425,A29,구역!$D$2:$D$425,B29)</f>
        <v>30487</v>
      </c>
      <c r="J29" s="7">
        <f>SUMIFS(구역!$Z$2:$Z$425,구역!$C$2:$C$425,A29,구역!$D$2:$D$425,B29)</f>
        <v>65.100000000000023</v>
      </c>
      <c r="K29" s="3">
        <f>COUNTIFS(구역!$C$2:$C$425,A29,구역!$D$2:$D$425,B29,구역!$W$2:$W$425,"?*")</f>
        <v>9</v>
      </c>
    </row>
    <row r="30" spans="1:11">
      <c r="A30" s="4" t="s">
        <v>1816</v>
      </c>
      <c r="B30" s="4" t="s">
        <v>597</v>
      </c>
      <c r="C30" s="3">
        <f>COUNTIFS(구역!$C$2:$C$425,A30,구역!$D$2:$D$425,B30)</f>
        <v>15</v>
      </c>
      <c r="D30" s="20">
        <f>SUMIFS(구역!$H$2:$H$425,구역!$C$2:$C$425,A30,구역!$D$2:$D$425,B30)</f>
        <v>319.69999999999993</v>
      </c>
      <c r="E30" s="7">
        <f>SUMIFS(구역!$O$2:$O$425,구역!$C$2:$C$425,A30,구역!$D$2:$D$425,B30)</f>
        <v>14</v>
      </c>
      <c r="F30" s="7">
        <f>SUMIFS(구역!$P$2:$P$425,구역!$C$2:$C$425,A30,구역!$D$2:$D$425,B30)</f>
        <v>8</v>
      </c>
      <c r="G30" s="7">
        <f>SUMIFS(구역!$Q$2:$Q$425,구역!$C$2:$C$425,A30,구역!$D$2:$D$425,B30)</f>
        <v>8</v>
      </c>
      <c r="H30" s="7">
        <f>SUMIFS(구역!$R$2:$R$425,구역!$C$2:$C$425,A30,구역!$D$2:$D$425,B30)</f>
        <v>4</v>
      </c>
      <c r="I30" s="7">
        <f>SUMIFS(구역!$X$2:$X$425,구역!$C$2:$C$425,A30,구역!$D$2:$D$425,B30)</f>
        <v>24451</v>
      </c>
      <c r="J30" s="7">
        <f>SUMIFS(구역!$Z$2:$Z$425,구역!$C$2:$C$425,A30,구역!$D$2:$D$425,B30)</f>
        <v>22.300000000000022</v>
      </c>
      <c r="K30" s="3">
        <f>COUNTIFS(구역!$C$2:$C$425,A30,구역!$D$2:$D$425,B30,구역!$W$2:$W$425,"?*")</f>
        <v>7</v>
      </c>
    </row>
    <row r="31" spans="1:11">
      <c r="A31" s="4" t="s">
        <v>1886</v>
      </c>
      <c r="B31" s="4" t="s">
        <v>597</v>
      </c>
      <c r="C31" s="3">
        <f>COUNTIFS(구역!$C$2:$C$425,A31,구역!$D$2:$D$425,B31)</f>
        <v>18</v>
      </c>
      <c r="D31" s="20">
        <f>SUMIFS(구역!$H$2:$H$425,구역!$C$2:$C$425,A31,구역!$D$2:$D$425,B31)</f>
        <v>194.70000000000002</v>
      </c>
      <c r="E31" s="7">
        <f>SUMIFS(구역!$O$2:$O$425,구역!$C$2:$C$425,A31,구역!$D$2:$D$425,B31)</f>
        <v>17</v>
      </c>
      <c r="F31" s="7">
        <f>SUMIFS(구역!$P$2:$P$425,구역!$C$2:$C$425,A31,구역!$D$2:$D$425,B31)</f>
        <v>0</v>
      </c>
      <c r="G31" s="7">
        <f>SUMIFS(구역!$Q$2:$Q$425,구역!$C$2:$C$425,A31,구역!$D$2:$D$425,B31)</f>
        <v>7</v>
      </c>
      <c r="H31" s="7">
        <f>SUMIFS(구역!$R$2:$R$425,구역!$C$2:$C$425,A31,구역!$D$2:$D$425,B31)</f>
        <v>3</v>
      </c>
      <c r="I31" s="7">
        <f>SUMIFS(구역!$X$2:$X$425,구역!$C$2:$C$425,A31,구역!$D$2:$D$425,B31)</f>
        <v>17991</v>
      </c>
      <c r="J31" s="7">
        <f>SUMIFS(구역!$Z$2:$Z$425,구역!$C$2:$C$425,A31,구역!$D$2:$D$425,B31)</f>
        <v>60.3</v>
      </c>
      <c r="K31" s="3">
        <f>COUNTIFS(구역!$C$2:$C$425,A31,구역!$D$2:$D$425,B31,구역!$W$2:$W$425,"?*")</f>
        <v>5</v>
      </c>
    </row>
    <row r="32" spans="1:11">
      <c r="A32" s="4" t="s">
        <v>1966</v>
      </c>
      <c r="B32" s="4" t="s">
        <v>597</v>
      </c>
      <c r="C32" s="3">
        <f>COUNTIFS(구역!$C$2:$C$425,A32,구역!$D$2:$D$425,B32)</f>
        <v>12</v>
      </c>
      <c r="D32" s="20">
        <f>SUMIFS(구역!$H$2:$H$425,구역!$C$2:$C$425,A32,구역!$D$2:$D$425,B32)</f>
        <v>107.89999999999999</v>
      </c>
      <c r="E32" s="7">
        <f>SUMIFS(구역!$O$2:$O$425,구역!$C$2:$C$425,A32,구역!$D$2:$D$425,B32)</f>
        <v>13</v>
      </c>
      <c r="F32" s="7">
        <f>SUMIFS(구역!$P$2:$P$425,구역!$C$2:$C$425,A32,구역!$D$2:$D$425,B32)</f>
        <v>0</v>
      </c>
      <c r="G32" s="7">
        <f>SUMIFS(구역!$Q$2:$Q$425,구역!$C$2:$C$425,A32,구역!$D$2:$D$425,B32)</f>
        <v>2</v>
      </c>
      <c r="H32" s="7">
        <f>SUMIFS(구역!$R$2:$R$425,구역!$C$2:$C$425,A32,구역!$D$2:$D$425,B32)</f>
        <v>2</v>
      </c>
      <c r="I32" s="7">
        <f>SUMIFS(구역!$X$2:$X$425,구역!$C$2:$C$425,A32,구역!$D$2:$D$425,B32)</f>
        <v>8447</v>
      </c>
      <c r="J32" s="7">
        <f>SUMIFS(구역!$Z$2:$Z$425,구역!$C$2:$C$425,A32,구역!$D$2:$D$425,B32)</f>
        <v>93.1</v>
      </c>
      <c r="K32" s="3">
        <f>COUNTIFS(구역!$C$2:$C$425,A32,구역!$D$2:$D$425,B32,구역!$W$2:$W$425,"?*")</f>
        <v>5</v>
      </c>
    </row>
    <row r="33" spans="1:11">
      <c r="A33" s="21" t="s">
        <v>2047</v>
      </c>
      <c r="C33" s="22">
        <f t="shared" ref="C33:K33" si="0">SUM(C2:C32)</f>
        <v>424</v>
      </c>
      <c r="D33" s="22">
        <f t="shared" si="0"/>
        <v>8611.2000000000007</v>
      </c>
      <c r="E33" s="22">
        <f t="shared" si="0"/>
        <v>416</v>
      </c>
      <c r="F33" s="22">
        <f t="shared" si="0"/>
        <v>156</v>
      </c>
      <c r="G33" s="22">
        <f t="shared" si="0"/>
        <v>211</v>
      </c>
      <c r="H33" s="22">
        <f t="shared" si="0"/>
        <v>249</v>
      </c>
      <c r="I33" s="22">
        <f t="shared" si="0"/>
        <v>743016</v>
      </c>
      <c r="J33" s="22">
        <f t="shared" si="0"/>
        <v>784.8000000000003</v>
      </c>
      <c r="K33" s="22">
        <f t="shared" si="0"/>
        <v>195</v>
      </c>
    </row>
    <row r="35" spans="1:11">
      <c r="A35" s="21" t="s">
        <v>2048</v>
      </c>
    </row>
    <row r="36" spans="1:11">
      <c r="A36" s="4" t="s">
        <v>31</v>
      </c>
      <c r="B36" s="23">
        <f>COUNTIFS(구역!$D$2:$D$425,"남",구역!$W$2:$W$425,"?*")/COUNTIF(구역!$D$2:$D$425,"남")</f>
        <v>0.52863436123348018</v>
      </c>
    </row>
    <row r="37" spans="1:11">
      <c r="A37" s="4" t="s">
        <v>597</v>
      </c>
      <c r="B37" s="23">
        <f>COUNTIFS(구역!$D$2:$D$425,"북",구역!$W$2:$W$425,"?*")/COUNTIF(구역!$D$2:$D$425,"북")</f>
        <v>0.37113402061855671</v>
      </c>
    </row>
    <row r="38" spans="1:11">
      <c r="A38" s="4" t="s">
        <v>2049</v>
      </c>
      <c r="B38" s="24">
        <f>B36/B37</f>
        <v>1.4243759177679882</v>
      </c>
    </row>
    <row r="40" spans="1:11">
      <c r="A40" s="19" t="s">
        <v>2050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zoomScaleNormal="100" workbookViewId="0"/>
  </sheetViews>
  <sheetFormatPr defaultColWidth="8.6640625" defaultRowHeight="14.25"/>
  <cols>
    <col min="1" max="1" width="10" customWidth="1"/>
    <col min="2" max="2" width="9" customWidth="1"/>
    <col min="3" max="3" width="13" customWidth="1"/>
    <col min="4" max="4" width="18" customWidth="1"/>
    <col min="5" max="5" width="40" customWidth="1"/>
  </cols>
  <sheetData>
    <row r="1" spans="1:5" ht="30" customHeight="1">
      <c r="A1" s="2" t="s">
        <v>6</v>
      </c>
      <c r="B1" s="2" t="s">
        <v>2038</v>
      </c>
      <c r="C1" s="2" t="s">
        <v>2039</v>
      </c>
      <c r="D1" s="2" t="s">
        <v>2044</v>
      </c>
      <c r="E1" s="2" t="s">
        <v>2051</v>
      </c>
    </row>
    <row r="2" spans="1:5">
      <c r="A2" s="4" t="s">
        <v>34</v>
      </c>
      <c r="B2" s="3">
        <f>COUNTIF(구역!$G$2:$G$425,A2)</f>
        <v>68</v>
      </c>
      <c r="C2" s="20">
        <f>SUMIF(구역!$G$2:$G$425,A2,구역!$H$2:$H$425)</f>
        <v>2666.5</v>
      </c>
      <c r="D2" s="18">
        <f>SUMIF(구역!$G$2:$G$425,A2,구역!$X$2:$X$425)</f>
        <v>189505</v>
      </c>
      <c r="E2" s="4" t="s">
        <v>2052</v>
      </c>
    </row>
    <row r="3" spans="1:5">
      <c r="A3" s="4" t="s">
        <v>315</v>
      </c>
      <c r="B3" s="3">
        <f>COUNTIF(구역!$G$2:$G$425,A3)</f>
        <v>32</v>
      </c>
      <c r="C3" s="20">
        <f>SUMIF(구역!$G$2:$G$425,A3,구역!$H$2:$H$425)</f>
        <v>557.6</v>
      </c>
      <c r="D3" s="18">
        <f>SUMIF(구역!$G$2:$G$425,A3,구역!$X$2:$X$425)</f>
        <v>65428</v>
      </c>
      <c r="E3" s="4" t="s">
        <v>2053</v>
      </c>
    </row>
    <row r="4" spans="1:5">
      <c r="A4" s="4" t="s">
        <v>293</v>
      </c>
      <c r="B4" s="3">
        <f>COUNTIF(구역!$G$2:$G$425,A4)</f>
        <v>43</v>
      </c>
      <c r="C4" s="20">
        <f>SUMIF(구역!$G$2:$G$425,A4,구역!$H$2:$H$425)</f>
        <v>553.99999999999989</v>
      </c>
      <c r="D4" s="18">
        <f>SUMIF(구역!$G$2:$G$425,A4,구역!$X$2:$X$425)</f>
        <v>64490</v>
      </c>
      <c r="E4" s="4" t="s">
        <v>2054</v>
      </c>
    </row>
    <row r="5" spans="1:5">
      <c r="A5" s="4" t="s">
        <v>138</v>
      </c>
      <c r="B5" s="3">
        <f>COUNTIF(구역!$G$2:$G$425,A5)</f>
        <v>70</v>
      </c>
      <c r="C5" s="20">
        <f>SUMIF(구역!$G$2:$G$425,A5,구역!$H$2:$H$425)</f>
        <v>1234.8999999999999</v>
      </c>
      <c r="D5" s="18">
        <f>SUMIF(구역!$G$2:$G$425,A5,구역!$X$2:$X$425)</f>
        <v>134937</v>
      </c>
      <c r="E5" s="4" t="s">
        <v>2055</v>
      </c>
    </row>
    <row r="6" spans="1:5">
      <c r="A6" s="4" t="s">
        <v>501</v>
      </c>
      <c r="B6" s="3">
        <f>COUNTIF(구역!$G$2:$G$425,A6)</f>
        <v>33</v>
      </c>
      <c r="C6" s="20">
        <f>SUMIF(구역!$G$2:$G$425,A6,구역!$H$2:$H$425)</f>
        <v>372.40000000000009</v>
      </c>
      <c r="D6" s="18">
        <f>SUMIF(구역!$G$2:$G$425,A6,구역!$X$2:$X$425)</f>
        <v>32432</v>
      </c>
      <c r="E6" s="4" t="s">
        <v>2056</v>
      </c>
    </row>
    <row r="7" spans="1:5">
      <c r="A7" s="4" t="s">
        <v>1542</v>
      </c>
      <c r="B7" s="3">
        <f>COUNTIF(구역!$G$2:$G$425,A7)</f>
        <v>36</v>
      </c>
      <c r="C7" s="20">
        <f>SUMIF(구역!$G$2:$G$425,A7,구역!$H$2:$H$425)</f>
        <v>608.69999999999993</v>
      </c>
      <c r="D7" s="18">
        <f>SUMIF(구역!$G$2:$G$425,A7,구역!$X$2:$X$425)</f>
        <v>39501</v>
      </c>
      <c r="E7" s="4" t="s">
        <v>2057</v>
      </c>
    </row>
    <row r="8" spans="1:5">
      <c r="A8" s="4" t="s">
        <v>1201</v>
      </c>
      <c r="B8" s="3">
        <f>COUNTIF(구역!$G$2:$G$425,A8)</f>
        <v>93</v>
      </c>
      <c r="C8" s="20">
        <f>SUMIF(구역!$G$2:$G$425,A8,구역!$H$2:$H$425)</f>
        <v>1700.1000000000001</v>
      </c>
      <c r="D8" s="18">
        <f>SUMIF(구역!$G$2:$G$425,A8,구역!$X$2:$X$425)</f>
        <v>146353</v>
      </c>
      <c r="E8" s="4" t="s">
        <v>2058</v>
      </c>
    </row>
    <row r="9" spans="1:5">
      <c r="A9" s="4" t="s">
        <v>1316</v>
      </c>
      <c r="B9" s="3">
        <f>COUNTIF(구역!$G$2:$G$425,A9)</f>
        <v>49</v>
      </c>
      <c r="C9" s="20">
        <f>SUMIF(구역!$G$2:$G$425,A9,구역!$H$2:$H$425)</f>
        <v>917.00000000000034</v>
      </c>
      <c r="D9" s="18">
        <f>SUMIF(구역!$G$2:$G$425,A9,구역!$X$2:$X$425)</f>
        <v>70370</v>
      </c>
      <c r="E9" s="4" t="s">
        <v>2059</v>
      </c>
    </row>
    <row r="11" spans="1:5">
      <c r="A11" s="19" t="s">
        <v>2060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zoomScaleNormal="100" workbookViewId="0"/>
  </sheetViews>
  <sheetFormatPr defaultColWidth="8.6640625" defaultRowHeight="14.25"/>
  <cols>
    <col min="1" max="1" width="8" customWidth="1"/>
    <col min="2" max="2" width="10" customWidth="1"/>
    <col min="3" max="3" width="32" customWidth="1"/>
    <col min="4" max="4" width="18" customWidth="1"/>
    <col min="5" max="5" width="16" customWidth="1"/>
    <col min="6" max="6" width="46" customWidth="1"/>
  </cols>
  <sheetData>
    <row r="1" spans="1:6" ht="30" customHeight="1">
      <c r="A1" s="1" t="s">
        <v>0</v>
      </c>
      <c r="B1" s="2" t="s">
        <v>2061</v>
      </c>
      <c r="C1" s="2" t="s">
        <v>2062</v>
      </c>
      <c r="D1" s="2" t="s">
        <v>11</v>
      </c>
      <c r="E1" s="2" t="s">
        <v>2063</v>
      </c>
      <c r="F1" s="2" t="s">
        <v>2064</v>
      </c>
    </row>
    <row r="2" spans="1:6">
      <c r="A2" s="3" t="s">
        <v>2065</v>
      </c>
      <c r="B2" s="4" t="s">
        <v>1289</v>
      </c>
      <c r="C2" s="3" t="s">
        <v>2066</v>
      </c>
      <c r="D2" s="4" t="s">
        <v>254</v>
      </c>
      <c r="E2" s="3">
        <f>COUNTIF(구역!$L$2:$L$425,"*"&amp;B2&amp;"*")</f>
        <v>33</v>
      </c>
      <c r="F2" s="4" t="s">
        <v>2067</v>
      </c>
    </row>
    <row r="3" spans="1:6">
      <c r="A3" s="3" t="s">
        <v>2068</v>
      </c>
      <c r="B3" s="4" t="s">
        <v>254</v>
      </c>
      <c r="C3" s="3" t="s">
        <v>2069</v>
      </c>
      <c r="D3" s="4" t="s">
        <v>2070</v>
      </c>
      <c r="E3" s="3">
        <f>COUNTIF(구역!$L$2:$L$425,"*"&amp;B3&amp;"*")</f>
        <v>32</v>
      </c>
      <c r="F3" s="4" t="s">
        <v>2067</v>
      </c>
    </row>
    <row r="4" spans="1:6">
      <c r="A4" s="3" t="s">
        <v>2071</v>
      </c>
      <c r="B4" s="4" t="s">
        <v>876</v>
      </c>
      <c r="C4" s="4" t="s">
        <v>2072</v>
      </c>
      <c r="D4" s="4" t="s">
        <v>2073</v>
      </c>
      <c r="E4" s="3">
        <f>COUNTIF(구역!$L$2:$L$425,"*"&amp;B4&amp;"*")</f>
        <v>13</v>
      </c>
      <c r="F4" s="4" t="s">
        <v>2067</v>
      </c>
    </row>
    <row r="5" spans="1:6">
      <c r="A5" s="3" t="s">
        <v>2074</v>
      </c>
      <c r="B5" s="4" t="s">
        <v>141</v>
      </c>
      <c r="C5" s="4" t="s">
        <v>2075</v>
      </c>
      <c r="D5" s="4" t="s">
        <v>2076</v>
      </c>
      <c r="E5" s="3">
        <f>COUNTIF(구역!$L$2:$L$425,"*"&amp;B5&amp;"*")</f>
        <v>19</v>
      </c>
      <c r="F5" s="4" t="s">
        <v>2067</v>
      </c>
    </row>
    <row r="6" spans="1:6">
      <c r="A6" s="3" t="s">
        <v>2077</v>
      </c>
      <c r="B6" s="4" t="s">
        <v>338</v>
      </c>
      <c r="C6" s="4" t="s">
        <v>2078</v>
      </c>
      <c r="D6" s="4" t="s">
        <v>2079</v>
      </c>
      <c r="E6" s="3">
        <f>COUNTIF(구역!$L$2:$L$425,"*"&amp;B6&amp;"*")</f>
        <v>16</v>
      </c>
      <c r="F6" s="4" t="s">
        <v>2067</v>
      </c>
    </row>
    <row r="7" spans="1:6">
      <c r="A7" s="3" t="s">
        <v>2080</v>
      </c>
      <c r="B7" s="4" t="s">
        <v>601</v>
      </c>
      <c r="C7" s="4" t="s">
        <v>2081</v>
      </c>
      <c r="D7" s="4" t="s">
        <v>338</v>
      </c>
      <c r="E7" s="3">
        <f>COUNTIF(구역!$L$2:$L$425,"*"&amp;B7&amp;"*")</f>
        <v>24</v>
      </c>
      <c r="F7" s="4" t="s">
        <v>2067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zoomScaleNormal="100" workbookViewId="0"/>
  </sheetViews>
  <sheetFormatPr defaultColWidth="8.6640625" defaultRowHeight="14.25"/>
  <cols>
    <col min="1" max="2" width="16" customWidth="1"/>
    <col min="3" max="3" width="34" customWidth="1"/>
    <col min="4" max="4" width="40" customWidth="1"/>
  </cols>
  <sheetData>
    <row r="1" spans="1:4" ht="30" customHeight="1">
      <c r="A1" s="2" t="s">
        <v>2082</v>
      </c>
      <c r="B1" s="2" t="s">
        <v>2083</v>
      </c>
      <c r="C1" s="2" t="s">
        <v>2084</v>
      </c>
      <c r="D1" s="2" t="s">
        <v>2085</v>
      </c>
    </row>
    <row r="2" spans="1:4">
      <c r="A2" s="4" t="s">
        <v>277</v>
      </c>
      <c r="B2" s="4" t="s">
        <v>264</v>
      </c>
      <c r="C2" s="4" t="s">
        <v>2086</v>
      </c>
      <c r="D2" s="4" t="s">
        <v>2087</v>
      </c>
    </row>
    <row r="3" spans="1:4">
      <c r="A3" s="4" t="s">
        <v>277</v>
      </c>
      <c r="B3" s="4" t="s">
        <v>260</v>
      </c>
      <c r="C3" s="4" t="s">
        <v>2088</v>
      </c>
      <c r="D3" s="4" t="s">
        <v>2087</v>
      </c>
    </row>
    <row r="4" spans="1:4">
      <c r="A4" s="4" t="s">
        <v>285</v>
      </c>
      <c r="B4" s="4" t="s">
        <v>418</v>
      </c>
      <c r="C4" s="4" t="s">
        <v>2089</v>
      </c>
      <c r="D4" s="4" t="s">
        <v>2087</v>
      </c>
    </row>
    <row r="5" spans="1:4">
      <c r="A5" s="4" t="s">
        <v>1116</v>
      </c>
      <c r="B5" s="4" t="s">
        <v>187</v>
      </c>
      <c r="C5" s="4" t="s">
        <v>2090</v>
      </c>
      <c r="D5" s="4" t="s">
        <v>2087</v>
      </c>
    </row>
    <row r="6" spans="1:4">
      <c r="A6" s="4" t="s">
        <v>1116</v>
      </c>
      <c r="B6" s="4" t="s">
        <v>1121</v>
      </c>
      <c r="C6" s="4" t="s">
        <v>2091</v>
      </c>
      <c r="D6" s="4" t="s">
        <v>2087</v>
      </c>
    </row>
    <row r="7" spans="1:4">
      <c r="A7" s="4" t="s">
        <v>1156</v>
      </c>
      <c r="B7" s="4" t="s">
        <v>1161</v>
      </c>
      <c r="C7" s="4" t="s">
        <v>2092</v>
      </c>
      <c r="D7" s="4" t="s">
        <v>2087</v>
      </c>
    </row>
    <row r="8" spans="1:4">
      <c r="A8" s="4" t="s">
        <v>1156</v>
      </c>
      <c r="B8" s="4" t="s">
        <v>1126</v>
      </c>
      <c r="C8" s="4" t="s">
        <v>2093</v>
      </c>
      <c r="D8" s="4" t="s">
        <v>2087</v>
      </c>
    </row>
    <row r="9" spans="1:4">
      <c r="A9" s="4" t="s">
        <v>971</v>
      </c>
      <c r="B9" s="4" t="s">
        <v>906</v>
      </c>
      <c r="C9" s="4" t="s">
        <v>2094</v>
      </c>
      <c r="D9" s="4" t="s">
        <v>2087</v>
      </c>
    </row>
    <row r="10" spans="1:4">
      <c r="A10" s="4" t="s">
        <v>932</v>
      </c>
      <c r="B10" s="4" t="s">
        <v>906</v>
      </c>
      <c r="C10" s="4" t="s">
        <v>2095</v>
      </c>
      <c r="D10" s="4" t="s">
        <v>2087</v>
      </c>
    </row>
    <row r="11" spans="1:4">
      <c r="A11" s="4" t="s">
        <v>947</v>
      </c>
      <c r="B11" s="4" t="s">
        <v>886</v>
      </c>
      <c r="C11" s="4" t="s">
        <v>2096</v>
      </c>
      <c r="D11" s="4" t="s">
        <v>2087</v>
      </c>
    </row>
    <row r="12" spans="1:4">
      <c r="A12" s="4" t="s">
        <v>947</v>
      </c>
      <c r="B12" s="4" t="s">
        <v>901</v>
      </c>
      <c r="C12" s="4" t="s">
        <v>2097</v>
      </c>
      <c r="D12" s="4" t="s">
        <v>2087</v>
      </c>
    </row>
    <row r="13" spans="1:4">
      <c r="A13" s="4" t="s">
        <v>879</v>
      </c>
      <c r="B13" s="4" t="s">
        <v>916</v>
      </c>
      <c r="C13" s="4" t="s">
        <v>2098</v>
      </c>
      <c r="D13" s="4" t="s">
        <v>2087</v>
      </c>
    </row>
    <row r="14" spans="1:4">
      <c r="A14" s="4" t="s">
        <v>196</v>
      </c>
      <c r="B14" s="4" t="s">
        <v>205</v>
      </c>
      <c r="C14" s="4" t="s">
        <v>2099</v>
      </c>
      <c r="D14" s="4" t="s">
        <v>2087</v>
      </c>
    </row>
    <row r="15" spans="1:4">
      <c r="A15" s="4" t="s">
        <v>196</v>
      </c>
      <c r="B15" s="4" t="s">
        <v>192</v>
      </c>
      <c r="C15" s="4" t="s">
        <v>2100</v>
      </c>
      <c r="D15" s="4" t="s">
        <v>2087</v>
      </c>
    </row>
    <row r="16" spans="1:4">
      <c r="A16" s="4" t="s">
        <v>196</v>
      </c>
      <c r="B16" s="4" t="s">
        <v>159</v>
      </c>
      <c r="C16" s="4" t="s">
        <v>2101</v>
      </c>
      <c r="D16" s="4" t="s">
        <v>2087</v>
      </c>
    </row>
    <row r="17" spans="1:4">
      <c r="A17" s="4" t="s">
        <v>813</v>
      </c>
      <c r="B17" s="4" t="s">
        <v>842</v>
      </c>
      <c r="C17" s="4" t="s">
        <v>2102</v>
      </c>
      <c r="D17" s="4" t="s">
        <v>2087</v>
      </c>
    </row>
    <row r="18" spans="1:4">
      <c r="A18" s="4" t="s">
        <v>1435</v>
      </c>
      <c r="B18" s="4" t="s">
        <v>1328</v>
      </c>
      <c r="C18" s="4" t="s">
        <v>2103</v>
      </c>
      <c r="D18" s="4" t="s">
        <v>2087</v>
      </c>
    </row>
    <row r="20" spans="1:4">
      <c r="A20" s="19" t="s">
        <v>2104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zoomScaleNormal="100" workbookViewId="0"/>
  </sheetViews>
  <sheetFormatPr defaultColWidth="8.6640625" defaultRowHeight="14.25"/>
  <cols>
    <col min="1" max="1" width="22" customWidth="1"/>
    <col min="2" max="2" width="110" customWidth="1"/>
  </cols>
  <sheetData>
    <row r="1" spans="1:2">
      <c r="A1" s="21" t="s">
        <v>2105</v>
      </c>
      <c r="B1" s="25"/>
    </row>
    <row r="2" spans="1:2" ht="25.5">
      <c r="A2" s="21" t="s">
        <v>2106</v>
      </c>
      <c r="B2" s="26" t="s">
        <v>2107</v>
      </c>
    </row>
    <row r="3" spans="1:2">
      <c r="A3" s="21" t="s">
        <v>1</v>
      </c>
      <c r="B3" s="26" t="s">
        <v>2108</v>
      </c>
    </row>
    <row r="4" spans="1:2">
      <c r="A4" s="21" t="s">
        <v>2109</v>
      </c>
      <c r="B4" s="26" t="s">
        <v>2110</v>
      </c>
    </row>
    <row r="5" spans="1:2" ht="25.5">
      <c r="A5" s="21" t="s">
        <v>2111</v>
      </c>
      <c r="B5" s="26" t="s">
        <v>2112</v>
      </c>
    </row>
    <row r="6" spans="1:2">
      <c r="A6" s="21" t="s">
        <v>2113</v>
      </c>
      <c r="B6" s="26" t="s">
        <v>2114</v>
      </c>
    </row>
    <row r="7" spans="1:2">
      <c r="A7" s="21" t="s">
        <v>2115</v>
      </c>
      <c r="B7" s="26" t="s">
        <v>2116</v>
      </c>
    </row>
    <row r="8" spans="1:2" ht="25.5">
      <c r="A8" s="21" t="s">
        <v>22</v>
      </c>
      <c r="B8" s="26" t="s">
        <v>2117</v>
      </c>
    </row>
    <row r="9" spans="1:2">
      <c r="A9" s="21" t="s">
        <v>2118</v>
      </c>
      <c r="B9" s="26" t="s">
        <v>2119</v>
      </c>
    </row>
    <row r="10" spans="1:2">
      <c r="A10" s="21"/>
      <c r="B10" s="25"/>
    </row>
    <row r="11" spans="1:2">
      <c r="A11" s="21" t="s">
        <v>2120</v>
      </c>
      <c r="B11" s="25"/>
    </row>
    <row r="12" spans="1:2" ht="25.5">
      <c r="A12" s="21" t="s">
        <v>2121</v>
      </c>
      <c r="B12" s="26" t="s">
        <v>2122</v>
      </c>
    </row>
    <row r="13" spans="1:2" ht="25.5">
      <c r="A13" s="21" t="s">
        <v>2123</v>
      </c>
      <c r="B13" s="25" t="s">
        <v>2124</v>
      </c>
    </row>
    <row r="14" spans="1:2">
      <c r="A14" s="21"/>
      <c r="B14" s="25"/>
    </row>
    <row r="15" spans="1:2" ht="25.5">
      <c r="A15" s="21" t="s">
        <v>2125</v>
      </c>
      <c r="B15" s="26" t="s">
        <v>2126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구역</vt:lpstr>
      <vt:lpstr>설정</vt:lpstr>
      <vt:lpstr>광역요약</vt:lpstr>
      <vt:lpstr>조선8도</vt:lpstr>
      <vt:lpstr>해역</vt:lpstr>
      <vt:lpstr>인접 예외</vt:lpstr>
      <vt:lpstr>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장현유</cp:lastModifiedBy>
  <cp:revision>0</cp:revision>
  <dcterms:created xsi:type="dcterms:W3CDTF">2026-09-29T00:20:37Z</dcterms:created>
  <dcterms:modified xsi:type="dcterms:W3CDTF">2026-09-29T01:06:00Z</dcterms:modified>
  <dc:language>en-US</dc:language>
</cp:coreProperties>
</file>